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esktop\"/>
    </mc:Choice>
  </mc:AlternateContent>
  <xr:revisionPtr revIDLastSave="0" documentId="13_ncr:1_{824AB6DB-346E-4038-B905-785766816287}" xr6:coauthVersionLast="47" xr6:coauthVersionMax="47" xr10:uidLastSave="{00000000-0000-0000-0000-000000000000}"/>
  <bookViews>
    <workbookView xWindow="-108" yWindow="-108" windowWidth="23256" windowHeight="12456" activeTab="5" xr2:uid="{4951D324-9280-5645-92DC-5A44C8AF6BD8}"/>
  </bookViews>
  <sheets>
    <sheet name="Aggregate" sheetId="1" r:id="rId1"/>
    <sheet name="AEP" sheetId="2" r:id="rId2"/>
    <sheet name="DFSVX" sheetId="3" r:id="rId3"/>
    <sheet name="DFLVX" sheetId="4" r:id="rId4"/>
    <sheet name="FSAGX" sheetId="5" r:id="rId5"/>
    <sheet name="FRED Graph" sheetId="6" r:id="rId6"/>
  </sheets>
  <definedNames>
    <definedName name="ER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45029.6316782407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Sigma">#REF!</definedName>
    <definedName name="W">#REF!</definedName>
  </definedNames>
  <calcPr calcId="191029" iterateDelta="9.999999999999445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1" l="1"/>
  <c r="L14" i="1"/>
  <c r="Q6" i="1"/>
  <c r="H14" i="1"/>
  <c r="F2" i="1"/>
  <c r="G2" i="1"/>
  <c r="B2" i="1"/>
  <c r="M15" i="1" l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M14" i="1"/>
  <c r="N14" i="1"/>
  <c r="O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14" i="1"/>
  <c r="J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AB15" i="1" s="1"/>
  <c r="E16" i="1"/>
  <c r="E17" i="1"/>
  <c r="E18" i="1"/>
  <c r="E19" i="1"/>
  <c r="E20" i="1"/>
  <c r="E21" i="1"/>
  <c r="AB21" i="1" s="1"/>
  <c r="AF21" i="1" s="1"/>
  <c r="E22" i="1"/>
  <c r="AB22" i="1" s="1"/>
  <c r="E23" i="1"/>
  <c r="E24" i="1"/>
  <c r="E25" i="1"/>
  <c r="E26" i="1"/>
  <c r="E27" i="1"/>
  <c r="E28" i="1"/>
  <c r="E29" i="1"/>
  <c r="AB29" i="1" s="1"/>
  <c r="AF29" i="1" s="1"/>
  <c r="E30" i="1"/>
  <c r="AB30" i="1" s="1"/>
  <c r="E31" i="1"/>
  <c r="E32" i="1"/>
  <c r="E33" i="1"/>
  <c r="E34" i="1"/>
  <c r="E35" i="1"/>
  <c r="E36" i="1"/>
  <c r="E37" i="1"/>
  <c r="AB37" i="1" s="1"/>
  <c r="AF37" i="1" s="1"/>
  <c r="E38" i="1"/>
  <c r="AB38" i="1" s="1"/>
  <c r="E39" i="1"/>
  <c r="E40" i="1"/>
  <c r="E41" i="1"/>
  <c r="E42" i="1"/>
  <c r="E43" i="1"/>
  <c r="E44" i="1"/>
  <c r="E45" i="1"/>
  <c r="AB45" i="1" s="1"/>
  <c r="AF45" i="1" s="1"/>
  <c r="E46" i="1"/>
  <c r="AB46" i="1" s="1"/>
  <c r="E47" i="1"/>
  <c r="E48" i="1"/>
  <c r="E49" i="1"/>
  <c r="E50" i="1"/>
  <c r="E51" i="1"/>
  <c r="E52" i="1"/>
  <c r="E53" i="1"/>
  <c r="AB53" i="1" s="1"/>
  <c r="AF53" i="1" s="1"/>
  <c r="E54" i="1"/>
  <c r="AB54" i="1" s="1"/>
  <c r="E55" i="1"/>
  <c r="E56" i="1"/>
  <c r="E57" i="1"/>
  <c r="E58" i="1"/>
  <c r="E59" i="1"/>
  <c r="E60" i="1"/>
  <c r="E61" i="1"/>
  <c r="AB61" i="1" s="1"/>
  <c r="AF61" i="1" s="1"/>
  <c r="E62" i="1"/>
  <c r="E63" i="1"/>
  <c r="E64" i="1"/>
  <c r="E65" i="1"/>
  <c r="E66" i="1"/>
  <c r="E67" i="1"/>
  <c r="E68" i="1"/>
  <c r="E69" i="1"/>
  <c r="AB69" i="1" s="1"/>
  <c r="AF69" i="1" s="1"/>
  <c r="E70" i="1"/>
  <c r="AB70" i="1" s="1"/>
  <c r="E71" i="1"/>
  <c r="E72" i="1"/>
  <c r="E73" i="1"/>
  <c r="E74" i="1"/>
  <c r="E75" i="1"/>
  <c r="E76" i="1"/>
  <c r="E77" i="1"/>
  <c r="AB77" i="1" s="1"/>
  <c r="AF77" i="1" s="1"/>
  <c r="E78" i="1"/>
  <c r="AB78" i="1" s="1"/>
  <c r="E79" i="1"/>
  <c r="E80" i="1"/>
  <c r="E81" i="1"/>
  <c r="E82" i="1"/>
  <c r="E83" i="1"/>
  <c r="E84" i="1"/>
  <c r="E85" i="1"/>
  <c r="AB85" i="1" s="1"/>
  <c r="AF85" i="1" s="1"/>
  <c r="E86" i="1"/>
  <c r="AB86" i="1" s="1"/>
  <c r="E87" i="1"/>
  <c r="E88" i="1"/>
  <c r="E89" i="1"/>
  <c r="E90" i="1"/>
  <c r="E91" i="1"/>
  <c r="E92" i="1"/>
  <c r="E93" i="1"/>
  <c r="AB93" i="1" s="1"/>
  <c r="AF93" i="1" s="1"/>
  <c r="E94" i="1"/>
  <c r="AB94" i="1" s="1"/>
  <c r="E95" i="1"/>
  <c r="E96" i="1"/>
  <c r="E97" i="1"/>
  <c r="E98" i="1"/>
  <c r="E99" i="1"/>
  <c r="E100" i="1"/>
  <c r="E101" i="1"/>
  <c r="AB101" i="1" s="1"/>
  <c r="AF101" i="1" s="1"/>
  <c r="E102" i="1"/>
  <c r="AB102" i="1" s="1"/>
  <c r="E103" i="1"/>
  <c r="E104" i="1"/>
  <c r="E105" i="1"/>
  <c r="E106" i="1"/>
  <c r="E107" i="1"/>
  <c r="E108" i="1"/>
  <c r="E109" i="1"/>
  <c r="AB109" i="1" s="1"/>
  <c r="AF109" i="1" s="1"/>
  <c r="E110" i="1"/>
  <c r="AB110" i="1" s="1"/>
  <c r="E111" i="1"/>
  <c r="E112" i="1"/>
  <c r="E113" i="1"/>
  <c r="E114" i="1"/>
  <c r="E115" i="1"/>
  <c r="E116" i="1"/>
  <c r="E117" i="1"/>
  <c r="AB117" i="1" s="1"/>
  <c r="AF117" i="1" s="1"/>
  <c r="E118" i="1"/>
  <c r="AB118" i="1" s="1"/>
  <c r="E119" i="1"/>
  <c r="E120" i="1"/>
  <c r="E121" i="1"/>
  <c r="E122" i="1"/>
  <c r="E123" i="1"/>
  <c r="E124" i="1"/>
  <c r="E125" i="1"/>
  <c r="AB125" i="1" s="1"/>
  <c r="AF125" i="1" s="1"/>
  <c r="E126" i="1"/>
  <c r="AB126" i="1" s="1"/>
  <c r="E127" i="1"/>
  <c r="E128" i="1"/>
  <c r="E129" i="1"/>
  <c r="E130" i="1"/>
  <c r="E131" i="1"/>
  <c r="E132" i="1"/>
  <c r="E133" i="1"/>
  <c r="AB133" i="1" s="1"/>
  <c r="AF133" i="1" s="1"/>
  <c r="E134" i="1"/>
  <c r="AB134" i="1" s="1"/>
  <c r="E135" i="1"/>
  <c r="E136" i="1"/>
  <c r="E137" i="1"/>
  <c r="E138" i="1"/>
  <c r="E139" i="1"/>
  <c r="E140" i="1"/>
  <c r="E141" i="1"/>
  <c r="AB141" i="1" s="1"/>
  <c r="AF141" i="1" s="1"/>
  <c r="E142" i="1"/>
  <c r="AB142" i="1" s="1"/>
  <c r="E143" i="1"/>
  <c r="E144" i="1"/>
  <c r="E145" i="1"/>
  <c r="E146" i="1"/>
  <c r="E147" i="1"/>
  <c r="E148" i="1"/>
  <c r="E149" i="1"/>
  <c r="AB149" i="1" s="1"/>
  <c r="AF149" i="1" s="1"/>
  <c r="E150" i="1"/>
  <c r="AB150" i="1" s="1"/>
  <c r="E151" i="1"/>
  <c r="E152" i="1"/>
  <c r="E153" i="1"/>
  <c r="E154" i="1"/>
  <c r="E155" i="1"/>
  <c r="E156" i="1"/>
  <c r="E157" i="1"/>
  <c r="AB157" i="1" s="1"/>
  <c r="AF157" i="1" s="1"/>
  <c r="E158" i="1"/>
  <c r="AB158" i="1" s="1"/>
  <c r="E159" i="1"/>
  <c r="E160" i="1"/>
  <c r="E161" i="1"/>
  <c r="E162" i="1"/>
  <c r="E163" i="1"/>
  <c r="E164" i="1"/>
  <c r="E165" i="1"/>
  <c r="AB165" i="1" s="1"/>
  <c r="AF165" i="1" s="1"/>
  <c r="E166" i="1"/>
  <c r="AB166" i="1" s="1"/>
  <c r="E167" i="1"/>
  <c r="E168" i="1"/>
  <c r="E169" i="1"/>
  <c r="E170" i="1"/>
  <c r="E171" i="1"/>
  <c r="E172" i="1"/>
  <c r="E173" i="1"/>
  <c r="AB173" i="1" s="1"/>
  <c r="AF173" i="1" s="1"/>
  <c r="E174" i="1"/>
  <c r="AB174" i="1" s="1"/>
  <c r="E175" i="1"/>
  <c r="E176" i="1"/>
  <c r="E177" i="1"/>
  <c r="E178" i="1"/>
  <c r="E179" i="1"/>
  <c r="E180" i="1"/>
  <c r="E181" i="1"/>
  <c r="AB181" i="1" s="1"/>
  <c r="AF181" i="1" s="1"/>
  <c r="E182" i="1"/>
  <c r="AB182" i="1" s="1"/>
  <c r="E183" i="1"/>
  <c r="E184" i="1"/>
  <c r="E185" i="1"/>
  <c r="E186" i="1"/>
  <c r="E187" i="1"/>
  <c r="E188" i="1"/>
  <c r="E189" i="1"/>
  <c r="AB189" i="1" s="1"/>
  <c r="AF189" i="1" s="1"/>
  <c r="E190" i="1"/>
  <c r="AB190" i="1" s="1"/>
  <c r="E191" i="1"/>
  <c r="E192" i="1"/>
  <c r="E193" i="1"/>
  <c r="E194" i="1"/>
  <c r="E195" i="1"/>
  <c r="E196" i="1"/>
  <c r="E197" i="1"/>
  <c r="AB197" i="1" s="1"/>
  <c r="AF197" i="1" s="1"/>
  <c r="E198" i="1"/>
  <c r="AB198" i="1" s="1"/>
  <c r="E199" i="1"/>
  <c r="E200" i="1"/>
  <c r="E201" i="1"/>
  <c r="E202" i="1"/>
  <c r="E203" i="1"/>
  <c r="E204" i="1"/>
  <c r="E205" i="1"/>
  <c r="AB205" i="1" s="1"/>
  <c r="AF205" i="1" s="1"/>
  <c r="E206" i="1"/>
  <c r="AB206" i="1" s="1"/>
  <c r="E207" i="1"/>
  <c r="E208" i="1"/>
  <c r="E209" i="1"/>
  <c r="E210" i="1"/>
  <c r="E211" i="1"/>
  <c r="E212" i="1"/>
  <c r="E213" i="1"/>
  <c r="AB213" i="1" s="1"/>
  <c r="AF213" i="1" s="1"/>
  <c r="E214" i="1"/>
  <c r="AB214" i="1" s="1"/>
  <c r="E215" i="1"/>
  <c r="E216" i="1"/>
  <c r="E217" i="1"/>
  <c r="E218" i="1"/>
  <c r="E219" i="1"/>
  <c r="E220" i="1"/>
  <c r="E221" i="1"/>
  <c r="AB221" i="1" s="1"/>
  <c r="AF221" i="1" s="1"/>
  <c r="E222" i="1"/>
  <c r="AB222" i="1" s="1"/>
  <c r="E223" i="1"/>
  <c r="E224" i="1"/>
  <c r="E225" i="1"/>
  <c r="E226" i="1"/>
  <c r="E227" i="1"/>
  <c r="E228" i="1"/>
  <c r="E229" i="1"/>
  <c r="AB229" i="1" s="1"/>
  <c r="AF229" i="1" s="1"/>
  <c r="E230" i="1"/>
  <c r="AB230" i="1" s="1"/>
  <c r="E231" i="1"/>
  <c r="E232" i="1"/>
  <c r="E233" i="1"/>
  <c r="E234" i="1"/>
  <c r="E235" i="1"/>
  <c r="E236" i="1"/>
  <c r="E237" i="1"/>
  <c r="AB237" i="1" s="1"/>
  <c r="AF237" i="1" s="1"/>
  <c r="E238" i="1"/>
  <c r="AB238" i="1" s="1"/>
  <c r="E239" i="1"/>
  <c r="E240" i="1"/>
  <c r="E241" i="1"/>
  <c r="E242" i="1"/>
  <c r="E243" i="1"/>
  <c r="E244" i="1"/>
  <c r="E245" i="1"/>
  <c r="AB245" i="1" s="1"/>
  <c r="AF245" i="1" s="1"/>
  <c r="E246" i="1"/>
  <c r="AB246" i="1" s="1"/>
  <c r="E247" i="1"/>
  <c r="E248" i="1"/>
  <c r="E249" i="1"/>
  <c r="E250" i="1"/>
  <c r="E251" i="1"/>
  <c r="E252" i="1"/>
  <c r="E253" i="1"/>
  <c r="AB253" i="1" s="1"/>
  <c r="AF253" i="1" s="1"/>
  <c r="E254" i="1"/>
  <c r="AB254" i="1" s="1"/>
  <c r="E255" i="1"/>
  <c r="E256" i="1"/>
  <c r="E257" i="1"/>
  <c r="E258" i="1"/>
  <c r="E259" i="1"/>
  <c r="E260" i="1"/>
  <c r="E261" i="1"/>
  <c r="AB261" i="1" s="1"/>
  <c r="AF261" i="1" s="1"/>
  <c r="E262" i="1"/>
  <c r="E263" i="1"/>
  <c r="E264" i="1"/>
  <c r="E265" i="1"/>
  <c r="E266" i="1"/>
  <c r="E267" i="1"/>
  <c r="E268" i="1"/>
  <c r="E269" i="1"/>
  <c r="AB269" i="1" s="1"/>
  <c r="AF269" i="1" s="1"/>
  <c r="E270" i="1"/>
  <c r="AB270" i="1" s="1"/>
  <c r="E271" i="1"/>
  <c r="E272" i="1"/>
  <c r="E273" i="1"/>
  <c r="E274" i="1"/>
  <c r="E275" i="1"/>
  <c r="E276" i="1"/>
  <c r="E277" i="1"/>
  <c r="AB277" i="1" s="1"/>
  <c r="AF277" i="1" s="1"/>
  <c r="E278" i="1"/>
  <c r="AB278" i="1" s="1"/>
  <c r="E279" i="1"/>
  <c r="AB279" i="1" s="1"/>
  <c r="E280" i="1"/>
  <c r="E281" i="1"/>
  <c r="E282" i="1"/>
  <c r="E283" i="1"/>
  <c r="E284" i="1"/>
  <c r="E285" i="1"/>
  <c r="AB285" i="1" s="1"/>
  <c r="AF285" i="1" s="1"/>
  <c r="E286" i="1"/>
  <c r="AB286" i="1" s="1"/>
  <c r="E287" i="1"/>
  <c r="AB287" i="1" s="1"/>
  <c r="E288" i="1"/>
  <c r="E289" i="1"/>
  <c r="E290" i="1"/>
  <c r="E291" i="1"/>
  <c r="E292" i="1"/>
  <c r="E293" i="1"/>
  <c r="AB293" i="1" s="1"/>
  <c r="AF293" i="1" s="1"/>
  <c r="E294" i="1"/>
  <c r="AB294" i="1" s="1"/>
  <c r="E295" i="1"/>
  <c r="AB295" i="1" s="1"/>
  <c r="E296" i="1"/>
  <c r="E297" i="1"/>
  <c r="E298" i="1"/>
  <c r="E299" i="1"/>
  <c r="E300" i="1"/>
  <c r="E301" i="1"/>
  <c r="AB301" i="1" s="1"/>
  <c r="AF301" i="1" s="1"/>
  <c r="E302" i="1"/>
  <c r="AB302" i="1" s="1"/>
  <c r="E303" i="1"/>
  <c r="AB303" i="1" s="1"/>
  <c r="E304" i="1"/>
  <c r="E305" i="1"/>
  <c r="E306" i="1"/>
  <c r="E307" i="1"/>
  <c r="E308" i="1"/>
  <c r="E309" i="1"/>
  <c r="AB309" i="1" s="1"/>
  <c r="AF309" i="1" s="1"/>
  <c r="E310" i="1"/>
  <c r="AB310" i="1" s="1"/>
  <c r="E311" i="1"/>
  <c r="AB311" i="1" s="1"/>
  <c r="E312" i="1"/>
  <c r="E313" i="1"/>
  <c r="E314" i="1"/>
  <c r="E315" i="1"/>
  <c r="E316" i="1"/>
  <c r="E317" i="1"/>
  <c r="AB317" i="1" s="1"/>
  <c r="AF317" i="1" s="1"/>
  <c r="E318" i="1"/>
  <c r="AB318" i="1" s="1"/>
  <c r="E319" i="1"/>
  <c r="AB319" i="1" s="1"/>
  <c r="E320" i="1"/>
  <c r="E321" i="1"/>
  <c r="E322" i="1"/>
  <c r="E323" i="1"/>
  <c r="E324" i="1"/>
  <c r="E325" i="1"/>
  <c r="AB325" i="1" s="1"/>
  <c r="AF325" i="1" s="1"/>
  <c r="E326" i="1"/>
  <c r="AB326" i="1" s="1"/>
  <c r="E327" i="1"/>
  <c r="AB327" i="1" s="1"/>
  <c r="E328" i="1"/>
  <c r="E329" i="1"/>
  <c r="E330" i="1"/>
  <c r="E331" i="1"/>
  <c r="E332" i="1"/>
  <c r="E333" i="1"/>
  <c r="AB333" i="1" s="1"/>
  <c r="AF333" i="1" s="1"/>
  <c r="E334" i="1"/>
  <c r="AB334" i="1" s="1"/>
  <c r="E335" i="1"/>
  <c r="AB335" i="1" s="1"/>
  <c r="E336" i="1"/>
  <c r="E337" i="1"/>
  <c r="E338" i="1"/>
  <c r="E339" i="1"/>
  <c r="E340" i="1"/>
  <c r="E341" i="1"/>
  <c r="AB341" i="1" s="1"/>
  <c r="AF341" i="1" s="1"/>
  <c r="E342" i="1"/>
  <c r="AB342" i="1" s="1"/>
  <c r="E343" i="1"/>
  <c r="AB343" i="1" s="1"/>
  <c r="E344" i="1"/>
  <c r="E345" i="1"/>
  <c r="E34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AA20" i="1" s="1"/>
  <c r="AE20" i="1" s="1"/>
  <c r="D21" i="1"/>
  <c r="AA21" i="1" s="1"/>
  <c r="D22" i="1"/>
  <c r="AA22" i="1" s="1"/>
  <c r="D23" i="1"/>
  <c r="D24" i="1"/>
  <c r="D25" i="1"/>
  <c r="D26" i="1"/>
  <c r="D27" i="1"/>
  <c r="D28" i="1"/>
  <c r="AA28" i="1" s="1"/>
  <c r="AE28" i="1" s="1"/>
  <c r="D29" i="1"/>
  <c r="AA29" i="1" s="1"/>
  <c r="D30" i="1"/>
  <c r="AA30" i="1" s="1"/>
  <c r="D31" i="1"/>
  <c r="D32" i="1"/>
  <c r="D33" i="1"/>
  <c r="D34" i="1"/>
  <c r="D35" i="1"/>
  <c r="D36" i="1"/>
  <c r="AA36" i="1" s="1"/>
  <c r="AE36" i="1" s="1"/>
  <c r="D37" i="1"/>
  <c r="AA37" i="1" s="1"/>
  <c r="D38" i="1"/>
  <c r="AA38" i="1" s="1"/>
  <c r="D39" i="1"/>
  <c r="D40" i="1"/>
  <c r="D41" i="1"/>
  <c r="D42" i="1"/>
  <c r="D43" i="1"/>
  <c r="D44" i="1"/>
  <c r="AA44" i="1" s="1"/>
  <c r="AE44" i="1" s="1"/>
  <c r="D45" i="1"/>
  <c r="AA45" i="1" s="1"/>
  <c r="D46" i="1"/>
  <c r="AA46" i="1" s="1"/>
  <c r="D47" i="1"/>
  <c r="D48" i="1"/>
  <c r="D49" i="1"/>
  <c r="D50" i="1"/>
  <c r="D51" i="1"/>
  <c r="D52" i="1"/>
  <c r="AA52" i="1" s="1"/>
  <c r="AE52" i="1" s="1"/>
  <c r="D53" i="1"/>
  <c r="AA53" i="1" s="1"/>
  <c r="D54" i="1"/>
  <c r="AA54" i="1" s="1"/>
  <c r="D55" i="1"/>
  <c r="D56" i="1"/>
  <c r="D57" i="1"/>
  <c r="D58" i="1"/>
  <c r="D59" i="1"/>
  <c r="D60" i="1"/>
  <c r="AA60" i="1" s="1"/>
  <c r="AE60" i="1" s="1"/>
  <c r="D61" i="1"/>
  <c r="AA61" i="1" s="1"/>
  <c r="D62" i="1"/>
  <c r="AA62" i="1" s="1"/>
  <c r="D63" i="1"/>
  <c r="D64" i="1"/>
  <c r="D65" i="1"/>
  <c r="D66" i="1"/>
  <c r="D67" i="1"/>
  <c r="D68" i="1"/>
  <c r="AA68" i="1" s="1"/>
  <c r="AE68" i="1" s="1"/>
  <c r="D69" i="1"/>
  <c r="AA69" i="1" s="1"/>
  <c r="D70" i="1"/>
  <c r="AA70" i="1" s="1"/>
  <c r="D71" i="1"/>
  <c r="D72" i="1"/>
  <c r="D73" i="1"/>
  <c r="D74" i="1"/>
  <c r="D75" i="1"/>
  <c r="D76" i="1"/>
  <c r="AA76" i="1" s="1"/>
  <c r="AE76" i="1" s="1"/>
  <c r="D77" i="1"/>
  <c r="AA77" i="1" s="1"/>
  <c r="D78" i="1"/>
  <c r="AA78" i="1" s="1"/>
  <c r="D79" i="1"/>
  <c r="D80" i="1"/>
  <c r="D81" i="1"/>
  <c r="D82" i="1"/>
  <c r="D83" i="1"/>
  <c r="D84" i="1"/>
  <c r="AA84" i="1" s="1"/>
  <c r="AE84" i="1" s="1"/>
  <c r="D85" i="1"/>
  <c r="AA85" i="1" s="1"/>
  <c r="D86" i="1"/>
  <c r="AA86" i="1" s="1"/>
  <c r="D87" i="1"/>
  <c r="D88" i="1"/>
  <c r="D89" i="1"/>
  <c r="D90" i="1"/>
  <c r="D91" i="1"/>
  <c r="D92" i="1"/>
  <c r="AA92" i="1" s="1"/>
  <c r="AE92" i="1" s="1"/>
  <c r="D93" i="1"/>
  <c r="AA93" i="1" s="1"/>
  <c r="D94" i="1"/>
  <c r="AA94" i="1" s="1"/>
  <c r="D95" i="1"/>
  <c r="D96" i="1"/>
  <c r="D97" i="1"/>
  <c r="D98" i="1"/>
  <c r="D99" i="1"/>
  <c r="D100" i="1"/>
  <c r="AA100" i="1" s="1"/>
  <c r="AE100" i="1" s="1"/>
  <c r="D101" i="1"/>
  <c r="AA101" i="1" s="1"/>
  <c r="D102" i="1"/>
  <c r="AA102" i="1" s="1"/>
  <c r="D103" i="1"/>
  <c r="D104" i="1"/>
  <c r="D105" i="1"/>
  <c r="D106" i="1"/>
  <c r="D107" i="1"/>
  <c r="D108" i="1"/>
  <c r="AA108" i="1" s="1"/>
  <c r="AE108" i="1" s="1"/>
  <c r="D109" i="1"/>
  <c r="AA109" i="1" s="1"/>
  <c r="D110" i="1"/>
  <c r="AA110" i="1" s="1"/>
  <c r="D111" i="1"/>
  <c r="D112" i="1"/>
  <c r="D113" i="1"/>
  <c r="D114" i="1"/>
  <c r="D115" i="1"/>
  <c r="D116" i="1"/>
  <c r="AA116" i="1" s="1"/>
  <c r="AE116" i="1" s="1"/>
  <c r="D117" i="1"/>
  <c r="AA117" i="1" s="1"/>
  <c r="D118" i="1"/>
  <c r="AA118" i="1" s="1"/>
  <c r="D119" i="1"/>
  <c r="D120" i="1"/>
  <c r="D121" i="1"/>
  <c r="D122" i="1"/>
  <c r="D123" i="1"/>
  <c r="D124" i="1"/>
  <c r="AA124" i="1" s="1"/>
  <c r="AE124" i="1" s="1"/>
  <c r="D125" i="1"/>
  <c r="AA125" i="1" s="1"/>
  <c r="D126" i="1"/>
  <c r="AA126" i="1" s="1"/>
  <c r="D127" i="1"/>
  <c r="D128" i="1"/>
  <c r="D129" i="1"/>
  <c r="D130" i="1"/>
  <c r="D131" i="1"/>
  <c r="D132" i="1"/>
  <c r="AA132" i="1" s="1"/>
  <c r="AE132" i="1" s="1"/>
  <c r="D133" i="1"/>
  <c r="AA133" i="1" s="1"/>
  <c r="D134" i="1"/>
  <c r="AA134" i="1" s="1"/>
  <c r="D135" i="1"/>
  <c r="D136" i="1"/>
  <c r="D137" i="1"/>
  <c r="D138" i="1"/>
  <c r="D139" i="1"/>
  <c r="D140" i="1"/>
  <c r="AA140" i="1" s="1"/>
  <c r="AE140" i="1" s="1"/>
  <c r="D141" i="1"/>
  <c r="AA141" i="1" s="1"/>
  <c r="D142" i="1"/>
  <c r="AA142" i="1" s="1"/>
  <c r="D143" i="1"/>
  <c r="D144" i="1"/>
  <c r="D145" i="1"/>
  <c r="D146" i="1"/>
  <c r="D147" i="1"/>
  <c r="D148" i="1"/>
  <c r="AA148" i="1" s="1"/>
  <c r="AE148" i="1" s="1"/>
  <c r="D149" i="1"/>
  <c r="AA149" i="1" s="1"/>
  <c r="D150" i="1"/>
  <c r="AA150" i="1" s="1"/>
  <c r="D151" i="1"/>
  <c r="D152" i="1"/>
  <c r="D153" i="1"/>
  <c r="D154" i="1"/>
  <c r="D155" i="1"/>
  <c r="D156" i="1"/>
  <c r="AA156" i="1" s="1"/>
  <c r="AE156" i="1" s="1"/>
  <c r="D157" i="1"/>
  <c r="AA157" i="1" s="1"/>
  <c r="D158" i="1"/>
  <c r="AA158" i="1" s="1"/>
  <c r="D159" i="1"/>
  <c r="D160" i="1"/>
  <c r="D161" i="1"/>
  <c r="D162" i="1"/>
  <c r="D163" i="1"/>
  <c r="D164" i="1"/>
  <c r="AA164" i="1" s="1"/>
  <c r="AE164" i="1" s="1"/>
  <c r="D165" i="1"/>
  <c r="AA165" i="1" s="1"/>
  <c r="D166" i="1"/>
  <c r="AA166" i="1" s="1"/>
  <c r="D167" i="1"/>
  <c r="D168" i="1"/>
  <c r="D169" i="1"/>
  <c r="D170" i="1"/>
  <c r="D171" i="1"/>
  <c r="D172" i="1"/>
  <c r="AA172" i="1" s="1"/>
  <c r="AE172" i="1" s="1"/>
  <c r="D173" i="1"/>
  <c r="AA173" i="1" s="1"/>
  <c r="D174" i="1"/>
  <c r="AA174" i="1" s="1"/>
  <c r="D175" i="1"/>
  <c r="D176" i="1"/>
  <c r="D177" i="1"/>
  <c r="D178" i="1"/>
  <c r="D179" i="1"/>
  <c r="D180" i="1"/>
  <c r="AA180" i="1" s="1"/>
  <c r="AE180" i="1" s="1"/>
  <c r="D181" i="1"/>
  <c r="AA181" i="1" s="1"/>
  <c r="D182" i="1"/>
  <c r="AA182" i="1" s="1"/>
  <c r="D183" i="1"/>
  <c r="D184" i="1"/>
  <c r="D185" i="1"/>
  <c r="D186" i="1"/>
  <c r="D187" i="1"/>
  <c r="D188" i="1"/>
  <c r="AA188" i="1" s="1"/>
  <c r="AE188" i="1" s="1"/>
  <c r="D189" i="1"/>
  <c r="AA189" i="1" s="1"/>
  <c r="D190" i="1"/>
  <c r="AA190" i="1" s="1"/>
  <c r="D191" i="1"/>
  <c r="D192" i="1"/>
  <c r="D193" i="1"/>
  <c r="D194" i="1"/>
  <c r="D195" i="1"/>
  <c r="D196" i="1"/>
  <c r="AA196" i="1" s="1"/>
  <c r="AE196" i="1" s="1"/>
  <c r="D197" i="1"/>
  <c r="AA197" i="1" s="1"/>
  <c r="D198" i="1"/>
  <c r="AA198" i="1" s="1"/>
  <c r="D199" i="1"/>
  <c r="D200" i="1"/>
  <c r="D201" i="1"/>
  <c r="D202" i="1"/>
  <c r="D203" i="1"/>
  <c r="D204" i="1"/>
  <c r="AA204" i="1" s="1"/>
  <c r="AE204" i="1" s="1"/>
  <c r="D205" i="1"/>
  <c r="AA205" i="1" s="1"/>
  <c r="D206" i="1"/>
  <c r="AA206" i="1" s="1"/>
  <c r="D207" i="1"/>
  <c r="D208" i="1"/>
  <c r="D209" i="1"/>
  <c r="D210" i="1"/>
  <c r="D211" i="1"/>
  <c r="D212" i="1"/>
  <c r="AA212" i="1" s="1"/>
  <c r="AE212" i="1" s="1"/>
  <c r="D213" i="1"/>
  <c r="AA213" i="1" s="1"/>
  <c r="D214" i="1"/>
  <c r="AA214" i="1" s="1"/>
  <c r="D215" i="1"/>
  <c r="D216" i="1"/>
  <c r="D217" i="1"/>
  <c r="D218" i="1"/>
  <c r="D219" i="1"/>
  <c r="D220" i="1"/>
  <c r="AA220" i="1" s="1"/>
  <c r="AE220" i="1" s="1"/>
  <c r="D221" i="1"/>
  <c r="AA221" i="1" s="1"/>
  <c r="D222" i="1"/>
  <c r="AA222" i="1" s="1"/>
  <c r="D223" i="1"/>
  <c r="D224" i="1"/>
  <c r="D225" i="1"/>
  <c r="D226" i="1"/>
  <c r="D227" i="1"/>
  <c r="D228" i="1"/>
  <c r="AA228" i="1" s="1"/>
  <c r="AE228" i="1" s="1"/>
  <c r="D229" i="1"/>
  <c r="AA229" i="1" s="1"/>
  <c r="D230" i="1"/>
  <c r="AA230" i="1" s="1"/>
  <c r="D231" i="1"/>
  <c r="D232" i="1"/>
  <c r="D233" i="1"/>
  <c r="D234" i="1"/>
  <c r="D235" i="1"/>
  <c r="D236" i="1"/>
  <c r="AA236" i="1" s="1"/>
  <c r="AE236" i="1" s="1"/>
  <c r="D237" i="1"/>
  <c r="AA237" i="1" s="1"/>
  <c r="D238" i="1"/>
  <c r="AA238" i="1" s="1"/>
  <c r="D239" i="1"/>
  <c r="D240" i="1"/>
  <c r="D241" i="1"/>
  <c r="D242" i="1"/>
  <c r="D243" i="1"/>
  <c r="D244" i="1"/>
  <c r="D245" i="1"/>
  <c r="AA245" i="1" s="1"/>
  <c r="D246" i="1"/>
  <c r="AA246" i="1" s="1"/>
  <c r="D247" i="1"/>
  <c r="D248" i="1"/>
  <c r="D249" i="1"/>
  <c r="D250" i="1"/>
  <c r="D251" i="1"/>
  <c r="D252" i="1"/>
  <c r="AA252" i="1" s="1"/>
  <c r="AE252" i="1" s="1"/>
  <c r="D253" i="1"/>
  <c r="AA253" i="1" s="1"/>
  <c r="D254" i="1"/>
  <c r="AA254" i="1" s="1"/>
  <c r="D255" i="1"/>
  <c r="D256" i="1"/>
  <c r="D257" i="1"/>
  <c r="D258" i="1"/>
  <c r="D259" i="1"/>
  <c r="D260" i="1"/>
  <c r="AA260" i="1" s="1"/>
  <c r="AE260" i="1" s="1"/>
  <c r="D261" i="1"/>
  <c r="AA261" i="1" s="1"/>
  <c r="D262" i="1"/>
  <c r="AA262" i="1" s="1"/>
  <c r="D263" i="1"/>
  <c r="D264" i="1"/>
  <c r="D265" i="1"/>
  <c r="D266" i="1"/>
  <c r="D267" i="1"/>
  <c r="D268" i="1"/>
  <c r="AA268" i="1" s="1"/>
  <c r="AE268" i="1" s="1"/>
  <c r="D269" i="1"/>
  <c r="AA269" i="1" s="1"/>
  <c r="D270" i="1"/>
  <c r="AA270" i="1" s="1"/>
  <c r="D271" i="1"/>
  <c r="D272" i="1"/>
  <c r="D273" i="1"/>
  <c r="D274" i="1"/>
  <c r="D275" i="1"/>
  <c r="D276" i="1"/>
  <c r="AA276" i="1" s="1"/>
  <c r="AE276" i="1" s="1"/>
  <c r="D277" i="1"/>
  <c r="AA277" i="1" s="1"/>
  <c r="D278" i="1"/>
  <c r="AA278" i="1" s="1"/>
  <c r="D279" i="1"/>
  <c r="D280" i="1"/>
  <c r="D281" i="1"/>
  <c r="D282" i="1"/>
  <c r="D283" i="1"/>
  <c r="D284" i="1"/>
  <c r="AA284" i="1" s="1"/>
  <c r="AE284" i="1" s="1"/>
  <c r="D285" i="1"/>
  <c r="AA285" i="1" s="1"/>
  <c r="AE285" i="1" s="1"/>
  <c r="D286" i="1"/>
  <c r="AA286" i="1" s="1"/>
  <c r="D287" i="1"/>
  <c r="D288" i="1"/>
  <c r="D289" i="1"/>
  <c r="D290" i="1"/>
  <c r="D291" i="1"/>
  <c r="D292" i="1"/>
  <c r="AA292" i="1" s="1"/>
  <c r="AE292" i="1" s="1"/>
  <c r="D293" i="1"/>
  <c r="AA293" i="1" s="1"/>
  <c r="AE293" i="1" s="1"/>
  <c r="D294" i="1"/>
  <c r="AA294" i="1" s="1"/>
  <c r="D295" i="1"/>
  <c r="D296" i="1"/>
  <c r="D297" i="1"/>
  <c r="D298" i="1"/>
  <c r="D299" i="1"/>
  <c r="D300" i="1"/>
  <c r="AA300" i="1" s="1"/>
  <c r="AE300" i="1" s="1"/>
  <c r="D301" i="1"/>
  <c r="AA301" i="1" s="1"/>
  <c r="AE301" i="1" s="1"/>
  <c r="D302" i="1"/>
  <c r="AA302" i="1" s="1"/>
  <c r="D303" i="1"/>
  <c r="D304" i="1"/>
  <c r="D305" i="1"/>
  <c r="D306" i="1"/>
  <c r="D307" i="1"/>
  <c r="D308" i="1"/>
  <c r="AA308" i="1" s="1"/>
  <c r="AE308" i="1" s="1"/>
  <c r="D309" i="1"/>
  <c r="AA309" i="1" s="1"/>
  <c r="AE309" i="1" s="1"/>
  <c r="D310" i="1"/>
  <c r="AA310" i="1" s="1"/>
  <c r="D311" i="1"/>
  <c r="D312" i="1"/>
  <c r="D313" i="1"/>
  <c r="D314" i="1"/>
  <c r="D315" i="1"/>
  <c r="D316" i="1"/>
  <c r="AA316" i="1" s="1"/>
  <c r="AE316" i="1" s="1"/>
  <c r="D317" i="1"/>
  <c r="AA317" i="1" s="1"/>
  <c r="AE317" i="1" s="1"/>
  <c r="D318" i="1"/>
  <c r="AA318" i="1" s="1"/>
  <c r="D319" i="1"/>
  <c r="D320" i="1"/>
  <c r="D321" i="1"/>
  <c r="D322" i="1"/>
  <c r="D323" i="1"/>
  <c r="D324" i="1"/>
  <c r="AA324" i="1" s="1"/>
  <c r="AE324" i="1" s="1"/>
  <c r="D325" i="1"/>
  <c r="AA325" i="1" s="1"/>
  <c r="AE325" i="1" s="1"/>
  <c r="D326" i="1"/>
  <c r="AA326" i="1" s="1"/>
  <c r="D327" i="1"/>
  <c r="D328" i="1"/>
  <c r="D329" i="1"/>
  <c r="D330" i="1"/>
  <c r="D331" i="1"/>
  <c r="D332" i="1"/>
  <c r="AA332" i="1" s="1"/>
  <c r="AE332" i="1" s="1"/>
  <c r="D333" i="1"/>
  <c r="AA333" i="1" s="1"/>
  <c r="AE333" i="1" s="1"/>
  <c r="D334" i="1"/>
  <c r="AA334" i="1" s="1"/>
  <c r="D335" i="1"/>
  <c r="D336" i="1"/>
  <c r="D337" i="1"/>
  <c r="D338" i="1"/>
  <c r="D339" i="1"/>
  <c r="D340" i="1"/>
  <c r="AA340" i="1" s="1"/>
  <c r="AE340" i="1" s="1"/>
  <c r="D341" i="1"/>
  <c r="AA341" i="1" s="1"/>
  <c r="AE341" i="1" s="1"/>
  <c r="D342" i="1"/>
  <c r="AA342" i="1" s="1"/>
  <c r="D343" i="1"/>
  <c r="D344" i="1"/>
  <c r="D345" i="1"/>
  <c r="D346" i="1"/>
  <c r="D2" i="1"/>
  <c r="C3" i="1"/>
  <c r="Z15" i="1" s="1"/>
  <c r="AD15" i="1" s="1"/>
  <c r="C4" i="1"/>
  <c r="Z16" i="1" s="1"/>
  <c r="AD16" i="1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Z20" i="1" s="1"/>
  <c r="AD20" i="1" s="1"/>
  <c r="C21" i="1"/>
  <c r="Z21" i="1" s="1"/>
  <c r="C22" i="1"/>
  <c r="C23" i="1"/>
  <c r="C24" i="1"/>
  <c r="C25" i="1"/>
  <c r="C26" i="1"/>
  <c r="C27" i="1"/>
  <c r="Z27" i="1" s="1"/>
  <c r="AD27" i="1" s="1"/>
  <c r="C28" i="1"/>
  <c r="Z28" i="1" s="1"/>
  <c r="AD28" i="1" s="1"/>
  <c r="C29" i="1"/>
  <c r="Z29" i="1" s="1"/>
  <c r="AD29" i="1" s="1"/>
  <c r="C30" i="1"/>
  <c r="C31" i="1"/>
  <c r="C32" i="1"/>
  <c r="C33" i="1"/>
  <c r="C34" i="1"/>
  <c r="C35" i="1"/>
  <c r="Z35" i="1" s="1"/>
  <c r="AD35" i="1" s="1"/>
  <c r="C36" i="1"/>
  <c r="Z36" i="1" s="1"/>
  <c r="AD36" i="1" s="1"/>
  <c r="C37" i="1"/>
  <c r="Z37" i="1" s="1"/>
  <c r="AD37" i="1" s="1"/>
  <c r="C38" i="1"/>
  <c r="C39" i="1"/>
  <c r="C40" i="1"/>
  <c r="C41" i="1"/>
  <c r="C42" i="1"/>
  <c r="C43" i="1"/>
  <c r="Z43" i="1" s="1"/>
  <c r="AD43" i="1" s="1"/>
  <c r="C44" i="1"/>
  <c r="Z44" i="1" s="1"/>
  <c r="AD44" i="1" s="1"/>
  <c r="C45" i="1"/>
  <c r="Z45" i="1" s="1"/>
  <c r="AD45" i="1" s="1"/>
  <c r="C46" i="1"/>
  <c r="C47" i="1"/>
  <c r="C48" i="1"/>
  <c r="C49" i="1"/>
  <c r="C50" i="1"/>
  <c r="C51" i="1"/>
  <c r="Z51" i="1" s="1"/>
  <c r="AD51" i="1" s="1"/>
  <c r="C52" i="1"/>
  <c r="C53" i="1"/>
  <c r="Z53" i="1" s="1"/>
  <c r="AD53" i="1" s="1"/>
  <c r="C54" i="1"/>
  <c r="C55" i="1"/>
  <c r="C56" i="1"/>
  <c r="C57" i="1"/>
  <c r="C58" i="1"/>
  <c r="C59" i="1"/>
  <c r="Z59" i="1" s="1"/>
  <c r="AD59" i="1" s="1"/>
  <c r="C60" i="1"/>
  <c r="Z60" i="1" s="1"/>
  <c r="AD60" i="1" s="1"/>
  <c r="C61" i="1"/>
  <c r="Z61" i="1" s="1"/>
  <c r="AD61" i="1" s="1"/>
  <c r="C62" i="1"/>
  <c r="C63" i="1"/>
  <c r="C64" i="1"/>
  <c r="C65" i="1"/>
  <c r="C66" i="1"/>
  <c r="C67" i="1"/>
  <c r="C68" i="1"/>
  <c r="C69" i="1"/>
  <c r="Z69" i="1" s="1"/>
  <c r="AD69" i="1" s="1"/>
  <c r="C70" i="1"/>
  <c r="C71" i="1"/>
  <c r="C72" i="1"/>
  <c r="C73" i="1"/>
  <c r="C74" i="1"/>
  <c r="C75" i="1"/>
  <c r="Z75" i="1" s="1"/>
  <c r="AD75" i="1" s="1"/>
  <c r="C76" i="1"/>
  <c r="Z76" i="1" s="1"/>
  <c r="AD76" i="1" s="1"/>
  <c r="C77" i="1"/>
  <c r="Z77" i="1" s="1"/>
  <c r="AD77" i="1" s="1"/>
  <c r="C78" i="1"/>
  <c r="C79" i="1"/>
  <c r="C80" i="1"/>
  <c r="C81" i="1"/>
  <c r="C82" i="1"/>
  <c r="C83" i="1"/>
  <c r="Z83" i="1" s="1"/>
  <c r="AD83" i="1" s="1"/>
  <c r="C84" i="1"/>
  <c r="Z84" i="1" s="1"/>
  <c r="AD84" i="1" s="1"/>
  <c r="C85" i="1"/>
  <c r="Z85" i="1" s="1"/>
  <c r="AD85" i="1" s="1"/>
  <c r="C86" i="1"/>
  <c r="C87" i="1"/>
  <c r="C88" i="1"/>
  <c r="C89" i="1"/>
  <c r="C90" i="1"/>
  <c r="C91" i="1"/>
  <c r="Z91" i="1" s="1"/>
  <c r="AD91" i="1" s="1"/>
  <c r="C92" i="1"/>
  <c r="Z92" i="1" s="1"/>
  <c r="AD92" i="1" s="1"/>
  <c r="C93" i="1"/>
  <c r="Z93" i="1" s="1"/>
  <c r="AD93" i="1" s="1"/>
  <c r="C94" i="1"/>
  <c r="C95" i="1"/>
  <c r="C96" i="1"/>
  <c r="C97" i="1"/>
  <c r="C98" i="1"/>
  <c r="C99" i="1"/>
  <c r="Z99" i="1" s="1"/>
  <c r="AD99" i="1" s="1"/>
  <c r="C100" i="1"/>
  <c r="C101" i="1"/>
  <c r="Z101" i="1" s="1"/>
  <c r="AD101" i="1" s="1"/>
  <c r="C102" i="1"/>
  <c r="C103" i="1"/>
  <c r="C104" i="1"/>
  <c r="C105" i="1"/>
  <c r="C106" i="1"/>
  <c r="C107" i="1"/>
  <c r="Z107" i="1" s="1"/>
  <c r="AD107" i="1" s="1"/>
  <c r="C108" i="1"/>
  <c r="Z108" i="1" s="1"/>
  <c r="AD108" i="1" s="1"/>
  <c r="C109" i="1"/>
  <c r="Z109" i="1" s="1"/>
  <c r="AD109" i="1" s="1"/>
  <c r="C110" i="1"/>
  <c r="C111" i="1"/>
  <c r="C112" i="1"/>
  <c r="C113" i="1"/>
  <c r="C114" i="1"/>
  <c r="C115" i="1"/>
  <c r="Z115" i="1" s="1"/>
  <c r="AD115" i="1" s="1"/>
  <c r="C116" i="1"/>
  <c r="Z116" i="1" s="1"/>
  <c r="AD116" i="1" s="1"/>
  <c r="C117" i="1"/>
  <c r="Z117" i="1" s="1"/>
  <c r="AD117" i="1" s="1"/>
  <c r="C118" i="1"/>
  <c r="C119" i="1"/>
  <c r="C120" i="1"/>
  <c r="C121" i="1"/>
  <c r="C122" i="1"/>
  <c r="C123" i="1"/>
  <c r="Z123" i="1" s="1"/>
  <c r="AD123" i="1" s="1"/>
  <c r="C124" i="1"/>
  <c r="Z124" i="1" s="1"/>
  <c r="AD124" i="1" s="1"/>
  <c r="C125" i="1"/>
  <c r="Z125" i="1" s="1"/>
  <c r="AD125" i="1" s="1"/>
  <c r="C126" i="1"/>
  <c r="C127" i="1"/>
  <c r="C128" i="1"/>
  <c r="C129" i="1"/>
  <c r="C130" i="1"/>
  <c r="C131" i="1"/>
  <c r="Z131" i="1" s="1"/>
  <c r="AD131" i="1" s="1"/>
  <c r="C132" i="1"/>
  <c r="Z132" i="1" s="1"/>
  <c r="AD132" i="1" s="1"/>
  <c r="C133" i="1"/>
  <c r="Z133" i="1" s="1"/>
  <c r="AD133" i="1" s="1"/>
  <c r="C134" i="1"/>
  <c r="C135" i="1"/>
  <c r="C136" i="1"/>
  <c r="C137" i="1"/>
  <c r="C138" i="1"/>
  <c r="C139" i="1"/>
  <c r="C140" i="1"/>
  <c r="Z140" i="1" s="1"/>
  <c r="AD140" i="1" s="1"/>
  <c r="C141" i="1"/>
  <c r="Z141" i="1" s="1"/>
  <c r="AD141" i="1" s="1"/>
  <c r="C142" i="1"/>
  <c r="C143" i="1"/>
  <c r="C144" i="1"/>
  <c r="C145" i="1"/>
  <c r="C146" i="1"/>
  <c r="C147" i="1"/>
  <c r="Z147" i="1" s="1"/>
  <c r="AD147" i="1" s="1"/>
  <c r="C148" i="1"/>
  <c r="C149" i="1"/>
  <c r="Z149" i="1" s="1"/>
  <c r="AD149" i="1" s="1"/>
  <c r="C150" i="1"/>
  <c r="C151" i="1"/>
  <c r="C152" i="1"/>
  <c r="C153" i="1"/>
  <c r="C154" i="1"/>
  <c r="C155" i="1"/>
  <c r="Z155" i="1" s="1"/>
  <c r="AD155" i="1" s="1"/>
  <c r="C156" i="1"/>
  <c r="Z156" i="1" s="1"/>
  <c r="AD156" i="1" s="1"/>
  <c r="C157" i="1"/>
  <c r="Z157" i="1" s="1"/>
  <c r="AD157" i="1" s="1"/>
  <c r="C158" i="1"/>
  <c r="C159" i="1"/>
  <c r="C160" i="1"/>
  <c r="C161" i="1"/>
  <c r="C162" i="1"/>
  <c r="C163" i="1"/>
  <c r="Z163" i="1" s="1"/>
  <c r="AD163" i="1" s="1"/>
  <c r="C164" i="1"/>
  <c r="Z164" i="1" s="1"/>
  <c r="AD164" i="1" s="1"/>
  <c r="C165" i="1"/>
  <c r="Z165" i="1" s="1"/>
  <c r="AD165" i="1" s="1"/>
  <c r="C166" i="1"/>
  <c r="C167" i="1"/>
  <c r="C168" i="1"/>
  <c r="C169" i="1"/>
  <c r="C170" i="1"/>
  <c r="C171" i="1"/>
  <c r="Z171" i="1" s="1"/>
  <c r="AD171" i="1" s="1"/>
  <c r="C172" i="1"/>
  <c r="Z172" i="1" s="1"/>
  <c r="AD172" i="1" s="1"/>
  <c r="C173" i="1"/>
  <c r="Z173" i="1" s="1"/>
  <c r="AD173" i="1" s="1"/>
  <c r="C174" i="1"/>
  <c r="C175" i="1"/>
  <c r="C176" i="1"/>
  <c r="C177" i="1"/>
  <c r="C178" i="1"/>
  <c r="C179" i="1"/>
  <c r="Z179" i="1" s="1"/>
  <c r="AD179" i="1" s="1"/>
  <c r="C180" i="1"/>
  <c r="Z180" i="1" s="1"/>
  <c r="AD180" i="1" s="1"/>
  <c r="C181" i="1"/>
  <c r="Z181" i="1" s="1"/>
  <c r="AD181" i="1" s="1"/>
  <c r="C182" i="1"/>
  <c r="C183" i="1"/>
  <c r="C184" i="1"/>
  <c r="C185" i="1"/>
  <c r="C186" i="1"/>
  <c r="C187" i="1"/>
  <c r="C188" i="1"/>
  <c r="Z188" i="1" s="1"/>
  <c r="AD188" i="1" s="1"/>
  <c r="C189" i="1"/>
  <c r="Z189" i="1" s="1"/>
  <c r="AD189" i="1" s="1"/>
  <c r="C190" i="1"/>
  <c r="C191" i="1"/>
  <c r="C192" i="1"/>
  <c r="C193" i="1"/>
  <c r="C194" i="1"/>
  <c r="C195" i="1"/>
  <c r="Z195" i="1" s="1"/>
  <c r="AD195" i="1" s="1"/>
  <c r="C196" i="1"/>
  <c r="Z196" i="1" s="1"/>
  <c r="AD196" i="1" s="1"/>
  <c r="C197" i="1"/>
  <c r="Z197" i="1" s="1"/>
  <c r="AD197" i="1" s="1"/>
  <c r="C198" i="1"/>
  <c r="C199" i="1"/>
  <c r="C200" i="1"/>
  <c r="C201" i="1"/>
  <c r="C202" i="1"/>
  <c r="C203" i="1"/>
  <c r="C204" i="1"/>
  <c r="Z204" i="1" s="1"/>
  <c r="AD204" i="1" s="1"/>
  <c r="C205" i="1"/>
  <c r="Z205" i="1" s="1"/>
  <c r="AD205" i="1" s="1"/>
  <c r="C206" i="1"/>
  <c r="C207" i="1"/>
  <c r="C208" i="1"/>
  <c r="C209" i="1"/>
  <c r="C210" i="1"/>
  <c r="C211" i="1"/>
  <c r="Z211" i="1" s="1"/>
  <c r="AD211" i="1" s="1"/>
  <c r="C212" i="1"/>
  <c r="C213" i="1"/>
  <c r="Z213" i="1" s="1"/>
  <c r="AD213" i="1" s="1"/>
  <c r="C214" i="1"/>
  <c r="C215" i="1"/>
  <c r="C216" i="1"/>
  <c r="C217" i="1"/>
  <c r="C218" i="1"/>
  <c r="C219" i="1"/>
  <c r="Z219" i="1" s="1"/>
  <c r="AD219" i="1" s="1"/>
  <c r="C220" i="1"/>
  <c r="Z220" i="1" s="1"/>
  <c r="AD220" i="1" s="1"/>
  <c r="C221" i="1"/>
  <c r="Z221" i="1" s="1"/>
  <c r="AD221" i="1" s="1"/>
  <c r="C222" i="1"/>
  <c r="C223" i="1"/>
  <c r="C224" i="1"/>
  <c r="C225" i="1"/>
  <c r="C226" i="1"/>
  <c r="C227" i="1"/>
  <c r="Z227" i="1" s="1"/>
  <c r="AD227" i="1" s="1"/>
  <c r="C228" i="1"/>
  <c r="Z228" i="1" s="1"/>
  <c r="AD228" i="1" s="1"/>
  <c r="C229" i="1"/>
  <c r="Z229" i="1" s="1"/>
  <c r="AD229" i="1" s="1"/>
  <c r="C230" i="1"/>
  <c r="C231" i="1"/>
  <c r="C232" i="1"/>
  <c r="C233" i="1"/>
  <c r="C234" i="1"/>
  <c r="C235" i="1"/>
  <c r="Z235" i="1" s="1"/>
  <c r="AD235" i="1" s="1"/>
  <c r="C236" i="1"/>
  <c r="Z236" i="1" s="1"/>
  <c r="AD236" i="1" s="1"/>
  <c r="C237" i="1"/>
  <c r="Z237" i="1" s="1"/>
  <c r="AD237" i="1" s="1"/>
  <c r="C238" i="1"/>
  <c r="C239" i="1"/>
  <c r="C240" i="1"/>
  <c r="C241" i="1"/>
  <c r="C242" i="1"/>
  <c r="C243" i="1"/>
  <c r="Z243" i="1" s="1"/>
  <c r="AD243" i="1" s="1"/>
  <c r="C244" i="1"/>
  <c r="Z244" i="1" s="1"/>
  <c r="AD244" i="1" s="1"/>
  <c r="C245" i="1"/>
  <c r="Z245" i="1" s="1"/>
  <c r="AD245" i="1" s="1"/>
  <c r="C246" i="1"/>
  <c r="C247" i="1"/>
  <c r="C248" i="1"/>
  <c r="C249" i="1"/>
  <c r="C250" i="1"/>
  <c r="C251" i="1"/>
  <c r="Z251" i="1" s="1"/>
  <c r="AD251" i="1" s="1"/>
  <c r="C252" i="1"/>
  <c r="Z252" i="1" s="1"/>
  <c r="AD252" i="1" s="1"/>
  <c r="C253" i="1"/>
  <c r="Z253" i="1" s="1"/>
  <c r="AD253" i="1" s="1"/>
  <c r="C254" i="1"/>
  <c r="C255" i="1"/>
  <c r="C256" i="1"/>
  <c r="C257" i="1"/>
  <c r="C258" i="1"/>
  <c r="C259" i="1"/>
  <c r="Z259" i="1" s="1"/>
  <c r="AD259" i="1" s="1"/>
  <c r="C260" i="1"/>
  <c r="Z260" i="1" s="1"/>
  <c r="AD260" i="1" s="1"/>
  <c r="C261" i="1"/>
  <c r="Z261" i="1" s="1"/>
  <c r="AD261" i="1" s="1"/>
  <c r="C262" i="1"/>
  <c r="C263" i="1"/>
  <c r="C264" i="1"/>
  <c r="C265" i="1"/>
  <c r="C266" i="1"/>
  <c r="C267" i="1"/>
  <c r="C268" i="1"/>
  <c r="Z268" i="1" s="1"/>
  <c r="AD268" i="1" s="1"/>
  <c r="C269" i="1"/>
  <c r="C270" i="1"/>
  <c r="C271" i="1"/>
  <c r="C272" i="1"/>
  <c r="C273" i="1"/>
  <c r="C274" i="1"/>
  <c r="C275" i="1"/>
  <c r="Z275" i="1" s="1"/>
  <c r="AD275" i="1" s="1"/>
  <c r="C276" i="1"/>
  <c r="Z276" i="1" s="1"/>
  <c r="AD276" i="1" s="1"/>
  <c r="C277" i="1"/>
  <c r="C278" i="1"/>
  <c r="C279" i="1"/>
  <c r="C280" i="1"/>
  <c r="C281" i="1"/>
  <c r="C282" i="1"/>
  <c r="C283" i="1"/>
  <c r="Z283" i="1" s="1"/>
  <c r="AD283" i="1" s="1"/>
  <c r="C284" i="1"/>
  <c r="Z284" i="1" s="1"/>
  <c r="AD284" i="1" s="1"/>
  <c r="C285" i="1"/>
  <c r="C286" i="1"/>
  <c r="C287" i="1"/>
  <c r="C288" i="1"/>
  <c r="C289" i="1"/>
  <c r="C290" i="1"/>
  <c r="C291" i="1"/>
  <c r="Z291" i="1" s="1"/>
  <c r="AD291" i="1" s="1"/>
  <c r="C292" i="1"/>
  <c r="C293" i="1"/>
  <c r="C294" i="1"/>
  <c r="C295" i="1"/>
  <c r="C296" i="1"/>
  <c r="C297" i="1"/>
  <c r="C298" i="1"/>
  <c r="C299" i="1"/>
  <c r="Z299" i="1" s="1"/>
  <c r="AD299" i="1" s="1"/>
  <c r="C300" i="1"/>
  <c r="Z300" i="1" s="1"/>
  <c r="AD300" i="1" s="1"/>
  <c r="C301" i="1"/>
  <c r="C302" i="1"/>
  <c r="C303" i="1"/>
  <c r="C304" i="1"/>
  <c r="C305" i="1"/>
  <c r="C306" i="1"/>
  <c r="C307" i="1"/>
  <c r="Z307" i="1" s="1"/>
  <c r="AD307" i="1" s="1"/>
  <c r="C308" i="1"/>
  <c r="Z308" i="1" s="1"/>
  <c r="AD308" i="1" s="1"/>
  <c r="C309" i="1"/>
  <c r="C310" i="1"/>
  <c r="C311" i="1"/>
  <c r="C312" i="1"/>
  <c r="C313" i="1"/>
  <c r="C314" i="1"/>
  <c r="C315" i="1"/>
  <c r="Z315" i="1" s="1"/>
  <c r="AD315" i="1" s="1"/>
  <c r="C316" i="1"/>
  <c r="Z316" i="1" s="1"/>
  <c r="AD316" i="1" s="1"/>
  <c r="C317" i="1"/>
  <c r="C318" i="1"/>
  <c r="C319" i="1"/>
  <c r="C320" i="1"/>
  <c r="C321" i="1"/>
  <c r="C322" i="1"/>
  <c r="C323" i="1"/>
  <c r="Z323" i="1" s="1"/>
  <c r="AD323" i="1" s="1"/>
  <c r="C324" i="1"/>
  <c r="Z324" i="1" s="1"/>
  <c r="AD324" i="1" s="1"/>
  <c r="C325" i="1"/>
  <c r="C326" i="1"/>
  <c r="C327" i="1"/>
  <c r="C328" i="1"/>
  <c r="C329" i="1"/>
  <c r="C330" i="1"/>
  <c r="C331" i="1"/>
  <c r="Z331" i="1" s="1"/>
  <c r="AD331" i="1" s="1"/>
  <c r="C332" i="1"/>
  <c r="Z332" i="1" s="1"/>
  <c r="AD332" i="1" s="1"/>
  <c r="C333" i="1"/>
  <c r="C334" i="1"/>
  <c r="Z334" i="1" s="1"/>
  <c r="AD334" i="1" s="1"/>
  <c r="C335" i="1"/>
  <c r="C336" i="1"/>
  <c r="C337" i="1"/>
  <c r="C338" i="1"/>
  <c r="C339" i="1"/>
  <c r="Z339" i="1" s="1"/>
  <c r="AD339" i="1" s="1"/>
  <c r="C340" i="1"/>
  <c r="Z340" i="1" s="1"/>
  <c r="AD340" i="1" s="1"/>
  <c r="C341" i="1"/>
  <c r="C342" i="1"/>
  <c r="Z342" i="1" s="1"/>
  <c r="AD342" i="1" s="1"/>
  <c r="C343" i="1"/>
  <c r="C344" i="1"/>
  <c r="C345" i="1"/>
  <c r="C34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Y18" i="1" s="1"/>
  <c r="AC18" i="1" s="1"/>
  <c r="B19" i="1"/>
  <c r="Y19" i="1" s="1"/>
  <c r="AC19" i="1" s="1"/>
  <c r="B20" i="1"/>
  <c r="B21" i="1"/>
  <c r="B22" i="1"/>
  <c r="B23" i="1"/>
  <c r="B24" i="1"/>
  <c r="B25" i="1"/>
  <c r="B26" i="1"/>
  <c r="Y26" i="1" s="1"/>
  <c r="AC26" i="1" s="1"/>
  <c r="B27" i="1"/>
  <c r="Y27" i="1" s="1"/>
  <c r="AC27" i="1" s="1"/>
  <c r="B28" i="1"/>
  <c r="B29" i="1"/>
  <c r="B30" i="1"/>
  <c r="B31" i="1"/>
  <c r="B32" i="1"/>
  <c r="B33" i="1"/>
  <c r="B34" i="1"/>
  <c r="Y34" i="1" s="1"/>
  <c r="AC34" i="1" s="1"/>
  <c r="B35" i="1"/>
  <c r="Y35" i="1" s="1"/>
  <c r="AC35" i="1" s="1"/>
  <c r="B36" i="1"/>
  <c r="B37" i="1"/>
  <c r="Y37" i="1" s="1"/>
  <c r="AC37" i="1" s="1"/>
  <c r="B38" i="1"/>
  <c r="B39" i="1"/>
  <c r="B40" i="1"/>
  <c r="B41" i="1"/>
  <c r="B42" i="1"/>
  <c r="Y42" i="1" s="1"/>
  <c r="AC42" i="1" s="1"/>
  <c r="B43" i="1"/>
  <c r="Y43" i="1" s="1"/>
  <c r="AC43" i="1" s="1"/>
  <c r="B44" i="1"/>
  <c r="B45" i="1"/>
  <c r="B46" i="1"/>
  <c r="B47" i="1"/>
  <c r="B48" i="1"/>
  <c r="B49" i="1"/>
  <c r="B50" i="1"/>
  <c r="Y50" i="1" s="1"/>
  <c r="AC50" i="1" s="1"/>
  <c r="B51" i="1"/>
  <c r="Y51" i="1" s="1"/>
  <c r="AC51" i="1" s="1"/>
  <c r="B52" i="1"/>
  <c r="B53" i="1"/>
  <c r="Y53" i="1" s="1"/>
  <c r="AC53" i="1" s="1"/>
  <c r="B54" i="1"/>
  <c r="B55" i="1"/>
  <c r="B56" i="1"/>
  <c r="B57" i="1"/>
  <c r="B58" i="1"/>
  <c r="Y58" i="1" s="1"/>
  <c r="AC58" i="1" s="1"/>
  <c r="B59" i="1"/>
  <c r="Y59" i="1" s="1"/>
  <c r="AC59" i="1" s="1"/>
  <c r="B60" i="1"/>
  <c r="B61" i="1"/>
  <c r="B62" i="1"/>
  <c r="B63" i="1"/>
  <c r="B64" i="1"/>
  <c r="B65" i="1"/>
  <c r="B66" i="1"/>
  <c r="Y66" i="1" s="1"/>
  <c r="AC66" i="1" s="1"/>
  <c r="B67" i="1"/>
  <c r="Y67" i="1" s="1"/>
  <c r="AC67" i="1" s="1"/>
  <c r="B68" i="1"/>
  <c r="B69" i="1"/>
  <c r="B70" i="1"/>
  <c r="B71" i="1"/>
  <c r="B72" i="1"/>
  <c r="B73" i="1"/>
  <c r="B74" i="1"/>
  <c r="Y74" i="1" s="1"/>
  <c r="AC74" i="1" s="1"/>
  <c r="B75" i="1"/>
  <c r="Y75" i="1" s="1"/>
  <c r="AC75" i="1" s="1"/>
  <c r="B76" i="1"/>
  <c r="B77" i="1"/>
  <c r="B78" i="1"/>
  <c r="B79" i="1"/>
  <c r="B80" i="1"/>
  <c r="B81" i="1"/>
  <c r="B82" i="1"/>
  <c r="Y82" i="1" s="1"/>
  <c r="AC82" i="1" s="1"/>
  <c r="B83" i="1"/>
  <c r="Y83" i="1" s="1"/>
  <c r="AC83" i="1" s="1"/>
  <c r="B84" i="1"/>
  <c r="B85" i="1"/>
  <c r="B86" i="1"/>
  <c r="B87" i="1"/>
  <c r="B88" i="1"/>
  <c r="B89" i="1"/>
  <c r="B90" i="1"/>
  <c r="Y90" i="1" s="1"/>
  <c r="AC90" i="1" s="1"/>
  <c r="B91" i="1"/>
  <c r="Y91" i="1" s="1"/>
  <c r="AC91" i="1" s="1"/>
  <c r="B92" i="1"/>
  <c r="B93" i="1"/>
  <c r="B94" i="1"/>
  <c r="B95" i="1"/>
  <c r="B96" i="1"/>
  <c r="B97" i="1"/>
  <c r="B98" i="1"/>
  <c r="Y98" i="1" s="1"/>
  <c r="AC98" i="1" s="1"/>
  <c r="B99" i="1"/>
  <c r="Y99" i="1" s="1"/>
  <c r="AC99" i="1" s="1"/>
  <c r="B100" i="1"/>
  <c r="B101" i="1"/>
  <c r="Y101" i="1" s="1"/>
  <c r="AC101" i="1" s="1"/>
  <c r="B102" i="1"/>
  <c r="B103" i="1"/>
  <c r="B104" i="1"/>
  <c r="B105" i="1"/>
  <c r="B106" i="1"/>
  <c r="Y106" i="1" s="1"/>
  <c r="AC106" i="1" s="1"/>
  <c r="B107" i="1"/>
  <c r="Y107" i="1" s="1"/>
  <c r="AC107" i="1" s="1"/>
  <c r="B108" i="1"/>
  <c r="B109" i="1"/>
  <c r="Y109" i="1" s="1"/>
  <c r="AC109" i="1" s="1"/>
  <c r="B110" i="1"/>
  <c r="B111" i="1"/>
  <c r="B112" i="1"/>
  <c r="B113" i="1"/>
  <c r="B114" i="1"/>
  <c r="Y114" i="1" s="1"/>
  <c r="AC114" i="1" s="1"/>
  <c r="B115" i="1"/>
  <c r="Y115" i="1" s="1"/>
  <c r="AC115" i="1" s="1"/>
  <c r="B116" i="1"/>
  <c r="B117" i="1"/>
  <c r="B118" i="1"/>
  <c r="B119" i="1"/>
  <c r="B120" i="1"/>
  <c r="B121" i="1"/>
  <c r="B122" i="1"/>
  <c r="Y122" i="1" s="1"/>
  <c r="AC122" i="1" s="1"/>
  <c r="B123" i="1"/>
  <c r="Y123" i="1" s="1"/>
  <c r="AC123" i="1" s="1"/>
  <c r="B124" i="1"/>
  <c r="B125" i="1"/>
  <c r="Y125" i="1" s="1"/>
  <c r="AC125" i="1" s="1"/>
  <c r="B126" i="1"/>
  <c r="B127" i="1"/>
  <c r="B128" i="1"/>
  <c r="B129" i="1"/>
  <c r="B130" i="1"/>
  <c r="Y130" i="1" s="1"/>
  <c r="AC130" i="1" s="1"/>
  <c r="B131" i="1"/>
  <c r="Y131" i="1" s="1"/>
  <c r="AC131" i="1" s="1"/>
  <c r="B132" i="1"/>
  <c r="B133" i="1"/>
  <c r="B134" i="1"/>
  <c r="B135" i="1"/>
  <c r="B136" i="1"/>
  <c r="B137" i="1"/>
  <c r="B138" i="1"/>
  <c r="Y138" i="1" s="1"/>
  <c r="AC138" i="1" s="1"/>
  <c r="B139" i="1"/>
  <c r="Y139" i="1" s="1"/>
  <c r="AC139" i="1" s="1"/>
  <c r="B140" i="1"/>
  <c r="B141" i="1"/>
  <c r="B142" i="1"/>
  <c r="B143" i="1"/>
  <c r="B144" i="1"/>
  <c r="B145" i="1"/>
  <c r="B146" i="1"/>
  <c r="Y146" i="1" s="1"/>
  <c r="AC146" i="1" s="1"/>
  <c r="B147" i="1"/>
  <c r="Y147" i="1" s="1"/>
  <c r="AC147" i="1" s="1"/>
  <c r="B148" i="1"/>
  <c r="B149" i="1"/>
  <c r="B150" i="1"/>
  <c r="B151" i="1"/>
  <c r="B152" i="1"/>
  <c r="B153" i="1"/>
  <c r="B154" i="1"/>
  <c r="Y154" i="1" s="1"/>
  <c r="AC154" i="1" s="1"/>
  <c r="B155" i="1"/>
  <c r="Y155" i="1" s="1"/>
  <c r="AC155" i="1" s="1"/>
  <c r="B156" i="1"/>
  <c r="B157" i="1"/>
  <c r="B158" i="1"/>
  <c r="B159" i="1"/>
  <c r="B160" i="1"/>
  <c r="B161" i="1"/>
  <c r="B162" i="1"/>
  <c r="Y162" i="1" s="1"/>
  <c r="AC162" i="1" s="1"/>
  <c r="B163" i="1"/>
  <c r="Y163" i="1" s="1"/>
  <c r="AC163" i="1" s="1"/>
  <c r="B164" i="1"/>
  <c r="B165" i="1"/>
  <c r="B166" i="1"/>
  <c r="B167" i="1"/>
  <c r="B168" i="1"/>
  <c r="B169" i="1"/>
  <c r="B170" i="1"/>
  <c r="Y170" i="1" s="1"/>
  <c r="AC170" i="1" s="1"/>
  <c r="B171" i="1"/>
  <c r="Y171" i="1" s="1"/>
  <c r="AC171" i="1" s="1"/>
  <c r="B172" i="1"/>
  <c r="B173" i="1"/>
  <c r="Y173" i="1" s="1"/>
  <c r="AC173" i="1" s="1"/>
  <c r="B174" i="1"/>
  <c r="B175" i="1"/>
  <c r="B176" i="1"/>
  <c r="B177" i="1"/>
  <c r="B178" i="1"/>
  <c r="Y178" i="1" s="1"/>
  <c r="AC178" i="1" s="1"/>
  <c r="B179" i="1"/>
  <c r="Y179" i="1" s="1"/>
  <c r="AC179" i="1" s="1"/>
  <c r="B180" i="1"/>
  <c r="B181" i="1"/>
  <c r="Y181" i="1" s="1"/>
  <c r="AC181" i="1" s="1"/>
  <c r="B182" i="1"/>
  <c r="B183" i="1"/>
  <c r="B184" i="1"/>
  <c r="B185" i="1"/>
  <c r="B186" i="1"/>
  <c r="Y186" i="1" s="1"/>
  <c r="AC186" i="1" s="1"/>
  <c r="B187" i="1"/>
  <c r="Y187" i="1" s="1"/>
  <c r="AC187" i="1" s="1"/>
  <c r="B188" i="1"/>
  <c r="B189" i="1"/>
  <c r="B190" i="1"/>
  <c r="B191" i="1"/>
  <c r="B192" i="1"/>
  <c r="B193" i="1"/>
  <c r="B194" i="1"/>
  <c r="Y194" i="1" s="1"/>
  <c r="AC194" i="1" s="1"/>
  <c r="B195" i="1"/>
  <c r="Y195" i="1" s="1"/>
  <c r="AC195" i="1" s="1"/>
  <c r="B196" i="1"/>
  <c r="B197" i="1"/>
  <c r="B198" i="1"/>
  <c r="B199" i="1"/>
  <c r="B200" i="1"/>
  <c r="B201" i="1"/>
  <c r="B202" i="1"/>
  <c r="Y202" i="1" s="1"/>
  <c r="AC202" i="1" s="1"/>
  <c r="B203" i="1"/>
  <c r="Y203" i="1" s="1"/>
  <c r="AC203" i="1" s="1"/>
  <c r="B204" i="1"/>
  <c r="B205" i="1"/>
  <c r="B206" i="1"/>
  <c r="B207" i="1"/>
  <c r="B208" i="1"/>
  <c r="B209" i="1"/>
  <c r="B210" i="1"/>
  <c r="Y210" i="1" s="1"/>
  <c r="AC210" i="1" s="1"/>
  <c r="B211" i="1"/>
  <c r="Y211" i="1" s="1"/>
  <c r="AC211" i="1" s="1"/>
  <c r="B212" i="1"/>
  <c r="B213" i="1"/>
  <c r="B214" i="1"/>
  <c r="B215" i="1"/>
  <c r="B216" i="1"/>
  <c r="B217" i="1"/>
  <c r="B218" i="1"/>
  <c r="Y218" i="1" s="1"/>
  <c r="AC218" i="1" s="1"/>
  <c r="B219" i="1"/>
  <c r="Y219" i="1" s="1"/>
  <c r="AC219" i="1" s="1"/>
  <c r="B220" i="1"/>
  <c r="B221" i="1"/>
  <c r="B222" i="1"/>
  <c r="B223" i="1"/>
  <c r="B224" i="1"/>
  <c r="B225" i="1"/>
  <c r="B226" i="1"/>
  <c r="Y238" i="1" s="1"/>
  <c r="AC238" i="1" s="1"/>
  <c r="B227" i="1"/>
  <c r="Y227" i="1" s="1"/>
  <c r="AC227" i="1" s="1"/>
  <c r="B228" i="1"/>
  <c r="B229" i="1"/>
  <c r="Y229" i="1" s="1"/>
  <c r="AC229" i="1" s="1"/>
  <c r="B230" i="1"/>
  <c r="B231" i="1"/>
  <c r="B232" i="1"/>
  <c r="B233" i="1"/>
  <c r="B234" i="1"/>
  <c r="Y234" i="1" s="1"/>
  <c r="AC234" i="1" s="1"/>
  <c r="B235" i="1"/>
  <c r="Y235" i="1" s="1"/>
  <c r="AC235" i="1" s="1"/>
  <c r="B236" i="1"/>
  <c r="B237" i="1"/>
  <c r="Y237" i="1" s="1"/>
  <c r="AC237" i="1" s="1"/>
  <c r="B238" i="1"/>
  <c r="B239" i="1"/>
  <c r="B240" i="1"/>
  <c r="B241" i="1"/>
  <c r="B242" i="1"/>
  <c r="Y242" i="1" s="1"/>
  <c r="AC242" i="1" s="1"/>
  <c r="B243" i="1"/>
  <c r="Y243" i="1" s="1"/>
  <c r="AC243" i="1" s="1"/>
  <c r="B244" i="1"/>
  <c r="B245" i="1"/>
  <c r="B246" i="1"/>
  <c r="B247" i="1"/>
  <c r="B248" i="1"/>
  <c r="B249" i="1"/>
  <c r="B250" i="1"/>
  <c r="Y250" i="1" s="1"/>
  <c r="AC250" i="1" s="1"/>
  <c r="B251" i="1"/>
  <c r="Y251" i="1" s="1"/>
  <c r="AC251" i="1" s="1"/>
  <c r="B252" i="1"/>
  <c r="B253" i="1"/>
  <c r="Y253" i="1" s="1"/>
  <c r="AC253" i="1" s="1"/>
  <c r="B254" i="1"/>
  <c r="B255" i="1"/>
  <c r="B256" i="1"/>
  <c r="B257" i="1"/>
  <c r="B258" i="1"/>
  <c r="Y258" i="1" s="1"/>
  <c r="AC258" i="1" s="1"/>
  <c r="B259" i="1"/>
  <c r="Y259" i="1" s="1"/>
  <c r="AC259" i="1" s="1"/>
  <c r="B260" i="1"/>
  <c r="B261" i="1"/>
  <c r="B262" i="1"/>
  <c r="B263" i="1"/>
  <c r="B264" i="1"/>
  <c r="B265" i="1"/>
  <c r="B266" i="1"/>
  <c r="Y266" i="1" s="1"/>
  <c r="AC266" i="1" s="1"/>
  <c r="B267" i="1"/>
  <c r="Y267" i="1" s="1"/>
  <c r="AC267" i="1" s="1"/>
  <c r="B268" i="1"/>
  <c r="B269" i="1"/>
  <c r="Y269" i="1" s="1"/>
  <c r="AC269" i="1" s="1"/>
  <c r="B270" i="1"/>
  <c r="B271" i="1"/>
  <c r="B272" i="1"/>
  <c r="B273" i="1"/>
  <c r="B274" i="1"/>
  <c r="Y274" i="1" s="1"/>
  <c r="AC274" i="1" s="1"/>
  <c r="B275" i="1"/>
  <c r="Y275" i="1" s="1"/>
  <c r="AC275" i="1" s="1"/>
  <c r="B276" i="1"/>
  <c r="B277" i="1"/>
  <c r="B278" i="1"/>
  <c r="B279" i="1"/>
  <c r="B280" i="1"/>
  <c r="B281" i="1"/>
  <c r="B282" i="1"/>
  <c r="Y282" i="1" s="1"/>
  <c r="AC282" i="1" s="1"/>
  <c r="B283" i="1"/>
  <c r="Y283" i="1" s="1"/>
  <c r="AC283" i="1" s="1"/>
  <c r="B284" i="1"/>
  <c r="Y284" i="1" s="1"/>
  <c r="AC284" i="1" s="1"/>
  <c r="B285" i="1"/>
  <c r="Y285" i="1" s="1"/>
  <c r="AC285" i="1" s="1"/>
  <c r="B286" i="1"/>
  <c r="B287" i="1"/>
  <c r="B288" i="1"/>
  <c r="B289" i="1"/>
  <c r="B290" i="1"/>
  <c r="Y290" i="1" s="1"/>
  <c r="AC290" i="1" s="1"/>
  <c r="B291" i="1"/>
  <c r="Y291" i="1" s="1"/>
  <c r="AC291" i="1" s="1"/>
  <c r="B292" i="1"/>
  <c r="Y292" i="1" s="1"/>
  <c r="AC292" i="1" s="1"/>
  <c r="B293" i="1"/>
  <c r="B294" i="1"/>
  <c r="B295" i="1"/>
  <c r="B296" i="1"/>
  <c r="B297" i="1"/>
  <c r="B298" i="1"/>
  <c r="Y298" i="1" s="1"/>
  <c r="AC298" i="1" s="1"/>
  <c r="B299" i="1"/>
  <c r="Y299" i="1" s="1"/>
  <c r="AC299" i="1" s="1"/>
  <c r="B300" i="1"/>
  <c r="Y300" i="1" s="1"/>
  <c r="AC300" i="1" s="1"/>
  <c r="B301" i="1"/>
  <c r="Y301" i="1" s="1"/>
  <c r="AC301" i="1" s="1"/>
  <c r="B302" i="1"/>
  <c r="B303" i="1"/>
  <c r="B304" i="1"/>
  <c r="B305" i="1"/>
  <c r="B306" i="1"/>
  <c r="Y306" i="1" s="1"/>
  <c r="AC306" i="1" s="1"/>
  <c r="B307" i="1"/>
  <c r="Y307" i="1" s="1"/>
  <c r="AC307" i="1" s="1"/>
  <c r="B308" i="1"/>
  <c r="Y308" i="1" s="1"/>
  <c r="AC308" i="1" s="1"/>
  <c r="B309" i="1"/>
  <c r="B310" i="1"/>
  <c r="B311" i="1"/>
  <c r="B312" i="1"/>
  <c r="B313" i="1"/>
  <c r="B314" i="1"/>
  <c r="Y314" i="1" s="1"/>
  <c r="AC314" i="1" s="1"/>
  <c r="B315" i="1"/>
  <c r="Y315" i="1" s="1"/>
  <c r="AC315" i="1" s="1"/>
  <c r="B316" i="1"/>
  <c r="Y316" i="1" s="1"/>
  <c r="AC316" i="1" s="1"/>
  <c r="B317" i="1"/>
  <c r="Y317" i="1" s="1"/>
  <c r="AC317" i="1" s="1"/>
  <c r="B318" i="1"/>
  <c r="B319" i="1"/>
  <c r="B320" i="1"/>
  <c r="B321" i="1"/>
  <c r="B322" i="1"/>
  <c r="Y322" i="1" s="1"/>
  <c r="AC322" i="1" s="1"/>
  <c r="B323" i="1"/>
  <c r="Y323" i="1" s="1"/>
  <c r="AC323" i="1" s="1"/>
  <c r="B324" i="1"/>
  <c r="Y324" i="1" s="1"/>
  <c r="AC324" i="1" s="1"/>
  <c r="B325" i="1"/>
  <c r="B326" i="1"/>
  <c r="B327" i="1"/>
  <c r="B328" i="1"/>
  <c r="B329" i="1"/>
  <c r="B330" i="1"/>
  <c r="Y330" i="1" s="1"/>
  <c r="AC330" i="1" s="1"/>
  <c r="B331" i="1"/>
  <c r="Y331" i="1" s="1"/>
  <c r="AC331" i="1" s="1"/>
  <c r="B332" i="1"/>
  <c r="Y332" i="1" s="1"/>
  <c r="AC332" i="1" s="1"/>
  <c r="B333" i="1"/>
  <c r="Y333" i="1" s="1"/>
  <c r="AC333" i="1" s="1"/>
  <c r="B334" i="1"/>
  <c r="B335" i="1"/>
  <c r="B336" i="1"/>
  <c r="B337" i="1"/>
  <c r="B338" i="1"/>
  <c r="Y338" i="1" s="1"/>
  <c r="AC338" i="1" s="1"/>
  <c r="B339" i="1"/>
  <c r="Y339" i="1" s="1"/>
  <c r="AC339" i="1" s="1"/>
  <c r="B340" i="1"/>
  <c r="Y340" i="1" s="1"/>
  <c r="AC340" i="1" s="1"/>
  <c r="B341" i="1"/>
  <c r="B342" i="1"/>
  <c r="B343" i="1"/>
  <c r="B344" i="1"/>
  <c r="B345" i="1"/>
  <c r="B346" i="1"/>
  <c r="Y346" i="1" s="1"/>
  <c r="AC346" i="1" s="1"/>
  <c r="A2" i="1" a="1"/>
  <c r="A2" i="1" s="1"/>
  <c r="Q9" i="1" l="1"/>
  <c r="Q8" i="1"/>
  <c r="Q7" i="1"/>
  <c r="Z346" i="1"/>
  <c r="AD346" i="1" s="1"/>
  <c r="Z330" i="1"/>
  <c r="AD330" i="1" s="1"/>
  <c r="Z314" i="1"/>
  <c r="AD314" i="1" s="1"/>
  <c r="Z298" i="1"/>
  <c r="AD298" i="1" s="1"/>
  <c r="Z282" i="1"/>
  <c r="AD282" i="1" s="1"/>
  <c r="Z258" i="1"/>
  <c r="AD258" i="1" s="1"/>
  <c r="Z242" i="1"/>
  <c r="AD242" i="1" s="1"/>
  <c r="Z226" i="1"/>
  <c r="AD226" i="1" s="1"/>
  <c r="Z202" i="1"/>
  <c r="AD202" i="1" s="1"/>
  <c r="Z186" i="1"/>
  <c r="AD186" i="1" s="1"/>
  <c r="Z170" i="1"/>
  <c r="AD170" i="1" s="1"/>
  <c r="Z162" i="1"/>
  <c r="AD162" i="1" s="1"/>
  <c r="Z146" i="1"/>
  <c r="AD146" i="1" s="1"/>
  <c r="Z130" i="1"/>
  <c r="AD130" i="1" s="1"/>
  <c r="Z114" i="1"/>
  <c r="AD114" i="1" s="1"/>
  <c r="Z98" i="1"/>
  <c r="AD98" i="1" s="1"/>
  <c r="Z82" i="1"/>
  <c r="AD82" i="1" s="1"/>
  <c r="Z66" i="1"/>
  <c r="AD66" i="1" s="1"/>
  <c r="Y15" i="1"/>
  <c r="Z338" i="1"/>
  <c r="AD338" i="1" s="1"/>
  <c r="Z322" i="1"/>
  <c r="AD322" i="1" s="1"/>
  <c r="Z306" i="1"/>
  <c r="AD306" i="1" s="1"/>
  <c r="Z290" i="1"/>
  <c r="AD290" i="1" s="1"/>
  <c r="Z250" i="1"/>
  <c r="AD250" i="1" s="1"/>
  <c r="Z234" i="1"/>
  <c r="AD234" i="1" s="1"/>
  <c r="Z218" i="1"/>
  <c r="AD218" i="1" s="1"/>
  <c r="Z210" i="1"/>
  <c r="AD210" i="1" s="1"/>
  <c r="Z194" i="1"/>
  <c r="AD194" i="1" s="1"/>
  <c r="Z178" i="1"/>
  <c r="AD178" i="1" s="1"/>
  <c r="Z154" i="1"/>
  <c r="AD154" i="1" s="1"/>
  <c r="Z138" i="1"/>
  <c r="AD138" i="1" s="1"/>
  <c r="Z122" i="1"/>
  <c r="AD122" i="1" s="1"/>
  <c r="Z106" i="1"/>
  <c r="AD106" i="1" s="1"/>
  <c r="Z90" i="1"/>
  <c r="AD90" i="1" s="1"/>
  <c r="Z74" i="1"/>
  <c r="AD74" i="1" s="1"/>
  <c r="Y14" i="1"/>
  <c r="Y276" i="1"/>
  <c r="AC276" i="1" s="1"/>
  <c r="Y268" i="1"/>
  <c r="AC268" i="1" s="1"/>
  <c r="Y260" i="1"/>
  <c r="AC260" i="1" s="1"/>
  <c r="Y252" i="1"/>
  <c r="AC252" i="1" s="1"/>
  <c r="Y244" i="1"/>
  <c r="AC244" i="1" s="1"/>
  <c r="Y236" i="1"/>
  <c r="AC236" i="1" s="1"/>
  <c r="Y228" i="1"/>
  <c r="AC228" i="1" s="1"/>
  <c r="Y220" i="1"/>
  <c r="AC220" i="1" s="1"/>
  <c r="Y212" i="1"/>
  <c r="AC212" i="1" s="1"/>
  <c r="Y204" i="1"/>
  <c r="AC204" i="1" s="1"/>
  <c r="Y196" i="1"/>
  <c r="AC196" i="1" s="1"/>
  <c r="Y188" i="1"/>
  <c r="AC188" i="1" s="1"/>
  <c r="Y180" i="1"/>
  <c r="AC180" i="1" s="1"/>
  <c r="Y172" i="1"/>
  <c r="AC172" i="1" s="1"/>
  <c r="Y164" i="1"/>
  <c r="AC164" i="1" s="1"/>
  <c r="Y156" i="1"/>
  <c r="AC156" i="1" s="1"/>
  <c r="Y148" i="1"/>
  <c r="AC148" i="1" s="1"/>
  <c r="Y140" i="1"/>
  <c r="AC140" i="1" s="1"/>
  <c r="Y132" i="1"/>
  <c r="AC132" i="1" s="1"/>
  <c r="Y124" i="1"/>
  <c r="AC124" i="1" s="1"/>
  <c r="Y116" i="1"/>
  <c r="AC116" i="1" s="1"/>
  <c r="Y108" i="1"/>
  <c r="AC108" i="1" s="1"/>
  <c r="Y100" i="1"/>
  <c r="AC100" i="1" s="1"/>
  <c r="Y92" i="1"/>
  <c r="AC92" i="1" s="1"/>
  <c r="Y84" i="1"/>
  <c r="AC84" i="1" s="1"/>
  <c r="Y76" i="1"/>
  <c r="AC76" i="1" s="1"/>
  <c r="Y68" i="1"/>
  <c r="AC68" i="1" s="1"/>
  <c r="Y60" i="1"/>
  <c r="AC60" i="1" s="1"/>
  <c r="Y52" i="1"/>
  <c r="AC52" i="1" s="1"/>
  <c r="Y44" i="1"/>
  <c r="AC44" i="1" s="1"/>
  <c r="Y36" i="1"/>
  <c r="AC36" i="1" s="1"/>
  <c r="Y28" i="1"/>
  <c r="AC28" i="1" s="1"/>
  <c r="Y20" i="1"/>
  <c r="AC20" i="1" s="1"/>
  <c r="Z341" i="1"/>
  <c r="AD341" i="1" s="1"/>
  <c r="Z333" i="1"/>
  <c r="AD333" i="1" s="1"/>
  <c r="Z325" i="1"/>
  <c r="AD325" i="1" s="1"/>
  <c r="Z317" i="1"/>
  <c r="AD317" i="1" s="1"/>
  <c r="Z309" i="1"/>
  <c r="AD309" i="1" s="1"/>
  <c r="Z301" i="1"/>
  <c r="AD301" i="1" s="1"/>
  <c r="Z293" i="1"/>
  <c r="AD293" i="1" s="1"/>
  <c r="Z285" i="1"/>
  <c r="AD285" i="1" s="1"/>
  <c r="Z277" i="1"/>
  <c r="AD277" i="1" s="1"/>
  <c r="Z269" i="1"/>
  <c r="AD269" i="1" s="1"/>
  <c r="Z58" i="1"/>
  <c r="AD58" i="1" s="1"/>
  <c r="Z50" i="1"/>
  <c r="AD50" i="1" s="1"/>
  <c r="Z42" i="1"/>
  <c r="AD42" i="1" s="1"/>
  <c r="Z34" i="1"/>
  <c r="AD34" i="1" s="1"/>
  <c r="Z26" i="1"/>
  <c r="AD26" i="1" s="1"/>
  <c r="Z18" i="1"/>
  <c r="AD18" i="1" s="1"/>
  <c r="AA339" i="1"/>
  <c r="AE339" i="1" s="1"/>
  <c r="AA331" i="1"/>
  <c r="AE331" i="1" s="1"/>
  <c r="AA323" i="1"/>
  <c r="AE323" i="1" s="1"/>
  <c r="AA315" i="1"/>
  <c r="AE315" i="1" s="1"/>
  <c r="AA307" i="1"/>
  <c r="AE307" i="1" s="1"/>
  <c r="AA299" i="1"/>
  <c r="AE299" i="1" s="1"/>
  <c r="AA291" i="1"/>
  <c r="AE291" i="1" s="1"/>
  <c r="AA283" i="1"/>
  <c r="AE283" i="1" s="1"/>
  <c r="AA275" i="1"/>
  <c r="AE275" i="1" s="1"/>
  <c r="AA267" i="1"/>
  <c r="AE267" i="1" s="1"/>
  <c r="AA259" i="1"/>
  <c r="AA251" i="1"/>
  <c r="AE251" i="1" s="1"/>
  <c r="AA243" i="1"/>
  <c r="AA227" i="1"/>
  <c r="AA219" i="1"/>
  <c r="AA211" i="1"/>
  <c r="AE211" i="1" s="1"/>
  <c r="AA203" i="1"/>
  <c r="AA195" i="1"/>
  <c r="AA187" i="1"/>
  <c r="AA179" i="1"/>
  <c r="AE179" i="1" s="1"/>
  <c r="AA163" i="1"/>
  <c r="AA155" i="1"/>
  <c r="AA147" i="1"/>
  <c r="AA139" i="1"/>
  <c r="AE139" i="1" s="1"/>
  <c r="AA131" i="1"/>
  <c r="AA123" i="1"/>
  <c r="AA115" i="1"/>
  <c r="AA107" i="1"/>
  <c r="AE107" i="1" s="1"/>
  <c r="AA99" i="1"/>
  <c r="AA91" i="1"/>
  <c r="AA83" i="1"/>
  <c r="AA75" i="1"/>
  <c r="AE75" i="1" s="1"/>
  <c r="AA67" i="1"/>
  <c r="AA59" i="1"/>
  <c r="AA51" i="1"/>
  <c r="AA43" i="1"/>
  <c r="AE43" i="1" s="1"/>
  <c r="AA35" i="1"/>
  <c r="AA27" i="1"/>
  <c r="AA19" i="1"/>
  <c r="AB340" i="1"/>
  <c r="AF340" i="1" s="1"/>
  <c r="AB332" i="1"/>
  <c r="AB324" i="1"/>
  <c r="AB316" i="1"/>
  <c r="AB308" i="1"/>
  <c r="AF308" i="1" s="1"/>
  <c r="AB300" i="1"/>
  <c r="AB292" i="1"/>
  <c r="AB284" i="1"/>
  <c r="AB276" i="1"/>
  <c r="AF276" i="1" s="1"/>
  <c r="AB268" i="1"/>
  <c r="AB260" i="1"/>
  <c r="AB252" i="1"/>
  <c r="AB244" i="1"/>
  <c r="AF244" i="1" s="1"/>
  <c r="AB236" i="1"/>
  <c r="AB228" i="1"/>
  <c r="AB220" i="1"/>
  <c r="AB212" i="1"/>
  <c r="AF212" i="1" s="1"/>
  <c r="AB204" i="1"/>
  <c r="AB196" i="1"/>
  <c r="AB188" i="1"/>
  <c r="AB172" i="1"/>
  <c r="AF172" i="1" s="1"/>
  <c r="AB164" i="1"/>
  <c r="AB156" i="1"/>
  <c r="AB148" i="1"/>
  <c r="AB140" i="1"/>
  <c r="AF140" i="1" s="1"/>
  <c r="AB132" i="1"/>
  <c r="AB124" i="1"/>
  <c r="AB116" i="1"/>
  <c r="AB108" i="1"/>
  <c r="AB100" i="1"/>
  <c r="AB92" i="1"/>
  <c r="AB84" i="1"/>
  <c r="AB76" i="1"/>
  <c r="AB68" i="1"/>
  <c r="AB60" i="1"/>
  <c r="AB52" i="1"/>
  <c r="AB44" i="1"/>
  <c r="AB36" i="1"/>
  <c r="AB28" i="1"/>
  <c r="AB20" i="1"/>
  <c r="Y329" i="1"/>
  <c r="AC329" i="1" s="1"/>
  <c r="Y265" i="1"/>
  <c r="AC265" i="1" s="1"/>
  <c r="Y169" i="1"/>
  <c r="AC169" i="1" s="1"/>
  <c r="Y337" i="1"/>
  <c r="AC337" i="1" s="1"/>
  <c r="Y321" i="1"/>
  <c r="AC321" i="1" s="1"/>
  <c r="Y297" i="1"/>
  <c r="AC297" i="1" s="1"/>
  <c r="Y281" i="1"/>
  <c r="AC281" i="1" s="1"/>
  <c r="Y257" i="1"/>
  <c r="AC257" i="1" s="1"/>
  <c r="Y241" i="1"/>
  <c r="AC241" i="1" s="1"/>
  <c r="Y217" i="1"/>
  <c r="AC217" i="1" s="1"/>
  <c r="Y193" i="1"/>
  <c r="AC193" i="1" s="1"/>
  <c r="Y177" i="1"/>
  <c r="AC177" i="1" s="1"/>
  <c r="Y153" i="1"/>
  <c r="AC153" i="1" s="1"/>
  <c r="Y137" i="1"/>
  <c r="AC137" i="1" s="1"/>
  <c r="Y121" i="1"/>
  <c r="AC121" i="1" s="1"/>
  <c r="Y105" i="1"/>
  <c r="AC105" i="1" s="1"/>
  <c r="Y89" i="1"/>
  <c r="AC89" i="1" s="1"/>
  <c r="Y73" i="1"/>
  <c r="AC73" i="1" s="1"/>
  <c r="Y57" i="1"/>
  <c r="AC57" i="1" s="1"/>
  <c r="Y41" i="1"/>
  <c r="AC41" i="1" s="1"/>
  <c r="Y25" i="1"/>
  <c r="AC25" i="1" s="1"/>
  <c r="Y17" i="1"/>
  <c r="AC17" i="1" s="1"/>
  <c r="Y184" i="1"/>
  <c r="AC184" i="1" s="1"/>
  <c r="Y136" i="1"/>
  <c r="AC136" i="1" s="1"/>
  <c r="Y72" i="1"/>
  <c r="AC72" i="1" s="1"/>
  <c r="Y305" i="1"/>
  <c r="AC305" i="1" s="1"/>
  <c r="Y233" i="1"/>
  <c r="AC233" i="1" s="1"/>
  <c r="Y345" i="1"/>
  <c r="AC345" i="1" s="1"/>
  <c r="Y313" i="1"/>
  <c r="AC313" i="1" s="1"/>
  <c r="Y289" i="1"/>
  <c r="AC289" i="1" s="1"/>
  <c r="Y273" i="1"/>
  <c r="AC273" i="1" s="1"/>
  <c r="Y249" i="1"/>
  <c r="AC249" i="1" s="1"/>
  <c r="Y225" i="1"/>
  <c r="AC225" i="1" s="1"/>
  <c r="Y209" i="1"/>
  <c r="AC209" i="1" s="1"/>
  <c r="Y201" i="1"/>
  <c r="AC201" i="1" s="1"/>
  <c r="Y185" i="1"/>
  <c r="AC185" i="1" s="1"/>
  <c r="Y161" i="1"/>
  <c r="AC161" i="1" s="1"/>
  <c r="Y145" i="1"/>
  <c r="AC145" i="1" s="1"/>
  <c r="Y129" i="1"/>
  <c r="AC129" i="1" s="1"/>
  <c r="Y113" i="1"/>
  <c r="AC113" i="1" s="1"/>
  <c r="Y97" i="1"/>
  <c r="AC97" i="1" s="1"/>
  <c r="Y81" i="1"/>
  <c r="AC81" i="1" s="1"/>
  <c r="Y65" i="1"/>
  <c r="AC65" i="1" s="1"/>
  <c r="Y49" i="1"/>
  <c r="AC49" i="1" s="1"/>
  <c r="Y33" i="1"/>
  <c r="AC33" i="1" s="1"/>
  <c r="Y343" i="1"/>
  <c r="AC343" i="1" s="1"/>
  <c r="Y327" i="1"/>
  <c r="AC327" i="1" s="1"/>
  <c r="Y311" i="1"/>
  <c r="AC311" i="1" s="1"/>
  <c r="Y295" i="1"/>
  <c r="AC295" i="1" s="1"/>
  <c r="Y279" i="1"/>
  <c r="AC279" i="1" s="1"/>
  <c r="Y263" i="1"/>
  <c r="AC263" i="1" s="1"/>
  <c r="Y247" i="1"/>
  <c r="AC247" i="1" s="1"/>
  <c r="Y342" i="1"/>
  <c r="AC342" i="1" s="1"/>
  <c r="Y334" i="1"/>
  <c r="AC334" i="1" s="1"/>
  <c r="Y326" i="1"/>
  <c r="AC326" i="1" s="1"/>
  <c r="Y318" i="1"/>
  <c r="AC318" i="1" s="1"/>
  <c r="Y310" i="1"/>
  <c r="AC310" i="1" s="1"/>
  <c r="Y302" i="1"/>
  <c r="AC302" i="1" s="1"/>
  <c r="Y294" i="1"/>
  <c r="AC294" i="1" s="1"/>
  <c r="Y286" i="1"/>
  <c r="AC286" i="1" s="1"/>
  <c r="Y278" i="1"/>
  <c r="AC278" i="1" s="1"/>
  <c r="Y270" i="1"/>
  <c r="AC270" i="1" s="1"/>
  <c r="Y262" i="1"/>
  <c r="AC262" i="1" s="1"/>
  <c r="Y254" i="1"/>
  <c r="AC254" i="1" s="1"/>
  <c r="Y246" i="1"/>
  <c r="AC246" i="1" s="1"/>
  <c r="Y198" i="1"/>
  <c r="AC198" i="1" s="1"/>
  <c r="Y182" i="1"/>
  <c r="AC182" i="1" s="1"/>
  <c r="Y174" i="1"/>
  <c r="AC174" i="1" s="1"/>
  <c r="Y126" i="1"/>
  <c r="AC126" i="1" s="1"/>
  <c r="Y118" i="1"/>
  <c r="AC118" i="1" s="1"/>
  <c r="Y62" i="1"/>
  <c r="AC62" i="1" s="1"/>
  <c r="Y54" i="1"/>
  <c r="AC54" i="1" s="1"/>
  <c r="Z343" i="1"/>
  <c r="AD343" i="1" s="1"/>
  <c r="Z14" i="1"/>
  <c r="AE259" i="1"/>
  <c r="AE243" i="1"/>
  <c r="AE227" i="1"/>
  <c r="AE219" i="1"/>
  <c r="AE203" i="1"/>
  <c r="AE195" i="1"/>
  <c r="AE187" i="1"/>
  <c r="AE163" i="1"/>
  <c r="AE155" i="1"/>
  <c r="AE147" i="1"/>
  <c r="AE131" i="1"/>
  <c r="AE123" i="1"/>
  <c r="AE115" i="1"/>
  <c r="AE99" i="1"/>
  <c r="AE91" i="1"/>
  <c r="AE83" i="1"/>
  <c r="AE67" i="1"/>
  <c r="AE59" i="1"/>
  <c r="AE51" i="1"/>
  <c r="AE35" i="1"/>
  <c r="AE27" i="1"/>
  <c r="AE19" i="1"/>
  <c r="AF332" i="1"/>
  <c r="AF324" i="1"/>
  <c r="AF316" i="1"/>
  <c r="AF300" i="1"/>
  <c r="AF292" i="1"/>
  <c r="AF284" i="1"/>
  <c r="AF268" i="1"/>
  <c r="AF260" i="1"/>
  <c r="AF252" i="1"/>
  <c r="AF236" i="1"/>
  <c r="AF228" i="1"/>
  <c r="AF220" i="1"/>
  <c r="AF204" i="1"/>
  <c r="AF196" i="1"/>
  <c r="AF188" i="1"/>
  <c r="AF164" i="1"/>
  <c r="AF156" i="1"/>
  <c r="AF148" i="1"/>
  <c r="AF132" i="1"/>
  <c r="AF124" i="1"/>
  <c r="AF116" i="1"/>
  <c r="Z296" i="1"/>
  <c r="AD296" i="1" s="1"/>
  <c r="Z288" i="1"/>
  <c r="AD288" i="1" s="1"/>
  <c r="Z240" i="1"/>
  <c r="AD240" i="1" s="1"/>
  <c r="Z200" i="1"/>
  <c r="AD200" i="1" s="1"/>
  <c r="Z176" i="1"/>
  <c r="AD176" i="1" s="1"/>
  <c r="Z136" i="1"/>
  <c r="AD136" i="1" s="1"/>
  <c r="Z96" i="1"/>
  <c r="AD96" i="1" s="1"/>
  <c r="Z48" i="1"/>
  <c r="AD48" i="1" s="1"/>
  <c r="Z32" i="1"/>
  <c r="AD32" i="1" s="1"/>
  <c r="AA265" i="1"/>
  <c r="AE265" i="1" s="1"/>
  <c r="AB210" i="1"/>
  <c r="AF210" i="1" s="1"/>
  <c r="Z295" i="1"/>
  <c r="AD295" i="1" s="1"/>
  <c r="Z287" i="1"/>
  <c r="AD287" i="1" s="1"/>
  <c r="Z239" i="1"/>
  <c r="AD239" i="1" s="1"/>
  <c r="Z175" i="1"/>
  <c r="AD175" i="1" s="1"/>
  <c r="Z135" i="1"/>
  <c r="AD135" i="1" s="1"/>
  <c r="Z111" i="1"/>
  <c r="AD111" i="1" s="1"/>
  <c r="Z95" i="1"/>
  <c r="AD95" i="1" s="1"/>
  <c r="Z63" i="1"/>
  <c r="AD63" i="1" s="1"/>
  <c r="Z47" i="1"/>
  <c r="AD47" i="1" s="1"/>
  <c r="AB265" i="1"/>
  <c r="AF265" i="1" s="1"/>
  <c r="AB201" i="1"/>
  <c r="AF201" i="1" s="1"/>
  <c r="Z270" i="1"/>
  <c r="AD270" i="1" s="1"/>
  <c r="AB256" i="1"/>
  <c r="AF256" i="1" s="1"/>
  <c r="AB40" i="1"/>
  <c r="AF40" i="1" s="1"/>
  <c r="AD21" i="1"/>
  <c r="AE342" i="1"/>
  <c r="AE334" i="1"/>
  <c r="AE326" i="1"/>
  <c r="AE318" i="1"/>
  <c r="AE310" i="1"/>
  <c r="AE302" i="1"/>
  <c r="AE294" i="1"/>
  <c r="AE286" i="1"/>
  <c r="AE278" i="1"/>
  <c r="AE270" i="1"/>
  <c r="AE262" i="1"/>
  <c r="AE254" i="1"/>
  <c r="AE246" i="1"/>
  <c r="AE238" i="1"/>
  <c r="AE230" i="1"/>
  <c r="AE222" i="1"/>
  <c r="AE214" i="1"/>
  <c r="AE206" i="1"/>
  <c r="AE198" i="1"/>
  <c r="AE190" i="1"/>
  <c r="AE182" i="1"/>
  <c r="AE174" i="1"/>
  <c r="AE166" i="1"/>
  <c r="AE158" i="1"/>
  <c r="AE150" i="1"/>
  <c r="AE142" i="1"/>
  <c r="AE134" i="1"/>
  <c r="AE126" i="1"/>
  <c r="AE118" i="1"/>
  <c r="AE110" i="1"/>
  <c r="AE102" i="1"/>
  <c r="AE94" i="1"/>
  <c r="AE86" i="1"/>
  <c r="AE78" i="1"/>
  <c r="AE70" i="1"/>
  <c r="AE62" i="1"/>
  <c r="AE54" i="1"/>
  <c r="AE46" i="1"/>
  <c r="AE38" i="1"/>
  <c r="AE30" i="1"/>
  <c r="AE22" i="1"/>
  <c r="AA14" i="1"/>
  <c r="AE14" i="1" s="1"/>
  <c r="AF343" i="1"/>
  <c r="AF335" i="1"/>
  <c r="AF327" i="1"/>
  <c r="AF319" i="1"/>
  <c r="AF311" i="1"/>
  <c r="AF303" i="1"/>
  <c r="AF295" i="1"/>
  <c r="AF287" i="1"/>
  <c r="AF279" i="1"/>
  <c r="AB271" i="1"/>
  <c r="AF271" i="1" s="1"/>
  <c r="AB263" i="1"/>
  <c r="AF263" i="1" s="1"/>
  <c r="AB255" i="1"/>
  <c r="AF255" i="1" s="1"/>
  <c r="AB247" i="1"/>
  <c r="AF247" i="1" s="1"/>
  <c r="AB239" i="1"/>
  <c r="AF239" i="1" s="1"/>
  <c r="AB231" i="1"/>
  <c r="AF231" i="1" s="1"/>
  <c r="AB223" i="1"/>
  <c r="AF223" i="1" s="1"/>
  <c r="AB215" i="1"/>
  <c r="AF215" i="1" s="1"/>
  <c r="AB207" i="1"/>
  <c r="AF207" i="1" s="1"/>
  <c r="AB199" i="1"/>
  <c r="AF199" i="1" s="1"/>
  <c r="AB191" i="1"/>
  <c r="AF191" i="1" s="1"/>
  <c r="AB183" i="1"/>
  <c r="AF183" i="1" s="1"/>
  <c r="AB175" i="1"/>
  <c r="AF175" i="1" s="1"/>
  <c r="AB167" i="1"/>
  <c r="AF167" i="1" s="1"/>
  <c r="AB159" i="1"/>
  <c r="AF159" i="1" s="1"/>
  <c r="AB151" i="1"/>
  <c r="AF151" i="1" s="1"/>
  <c r="AB143" i="1"/>
  <c r="AF143" i="1" s="1"/>
  <c r="AB135" i="1"/>
  <c r="AF135" i="1" s="1"/>
  <c r="AB127" i="1"/>
  <c r="AF127" i="1" s="1"/>
  <c r="AB119" i="1"/>
  <c r="AF119" i="1" s="1"/>
  <c r="AB111" i="1"/>
  <c r="AF111" i="1" s="1"/>
  <c r="AB103" i="1"/>
  <c r="AF103" i="1" s="1"/>
  <c r="AB95" i="1"/>
  <c r="AF95" i="1" s="1"/>
  <c r="AB87" i="1"/>
  <c r="AF87" i="1" s="1"/>
  <c r="AB79" i="1"/>
  <c r="AF79" i="1" s="1"/>
  <c r="AB71" i="1"/>
  <c r="AF71" i="1" s="1"/>
  <c r="AB63" i="1"/>
  <c r="AF63" i="1" s="1"/>
  <c r="AB55" i="1"/>
  <c r="AF55" i="1" s="1"/>
  <c r="AB47" i="1"/>
  <c r="AF47" i="1" s="1"/>
  <c r="AB39" i="1"/>
  <c r="AF39" i="1" s="1"/>
  <c r="AB31" i="1"/>
  <c r="AF31" i="1" s="1"/>
  <c r="AB23" i="1"/>
  <c r="AF23" i="1" s="1"/>
  <c r="AF15" i="1"/>
  <c r="AE277" i="1"/>
  <c r="AE269" i="1"/>
  <c r="AE261" i="1"/>
  <c r="AE253" i="1"/>
  <c r="AE245" i="1"/>
  <c r="AE237" i="1"/>
  <c r="AE229" i="1"/>
  <c r="AE221" i="1"/>
  <c r="AE213" i="1"/>
  <c r="AE205" i="1"/>
  <c r="AE197" i="1"/>
  <c r="AE189" i="1"/>
  <c r="AE181" i="1"/>
  <c r="AE173" i="1"/>
  <c r="AE165" i="1"/>
  <c r="AE157" i="1"/>
  <c r="AE149" i="1"/>
  <c r="AE141" i="1"/>
  <c r="AE133" i="1"/>
  <c r="AE125" i="1"/>
  <c r="AE117" i="1"/>
  <c r="AE109" i="1"/>
  <c r="AE101" i="1"/>
  <c r="AE93" i="1"/>
  <c r="AE85" i="1"/>
  <c r="AE77" i="1"/>
  <c r="AE69" i="1"/>
  <c r="AE61" i="1"/>
  <c r="AE53" i="1"/>
  <c r="AE45" i="1"/>
  <c r="AE37" i="1"/>
  <c r="AE29" i="1"/>
  <c r="AE21" i="1"/>
  <c r="AF342" i="1"/>
  <c r="AF334" i="1"/>
  <c r="AF326" i="1"/>
  <c r="AF318" i="1"/>
  <c r="AF310" i="1"/>
  <c r="AF302" i="1"/>
  <c r="AF294" i="1"/>
  <c r="AF286" i="1"/>
  <c r="AF278" i="1"/>
  <c r="AF270" i="1"/>
  <c r="AF254" i="1"/>
  <c r="AF246" i="1"/>
  <c r="AF238" i="1"/>
  <c r="AF230" i="1"/>
  <c r="AF222" i="1"/>
  <c r="AF214" i="1"/>
  <c r="AF206" i="1"/>
  <c r="AF198" i="1"/>
  <c r="AF190" i="1"/>
  <c r="AF182" i="1"/>
  <c r="AF174" i="1"/>
  <c r="AF166" i="1"/>
  <c r="AF158" i="1"/>
  <c r="AF150" i="1"/>
  <c r="AF142" i="1"/>
  <c r="AF134" i="1"/>
  <c r="AF126" i="1"/>
  <c r="AF118" i="1"/>
  <c r="AF110" i="1"/>
  <c r="AF102" i="1"/>
  <c r="AF94" i="1"/>
  <c r="AF86" i="1"/>
  <c r="AF78" i="1"/>
  <c r="AF70" i="1"/>
  <c r="AF54" i="1"/>
  <c r="AF46" i="1"/>
  <c r="AF38" i="1"/>
  <c r="AF30" i="1"/>
  <c r="AF22" i="1"/>
  <c r="AB14" i="1"/>
  <c r="AF14" i="1" s="1"/>
  <c r="Z274" i="1"/>
  <c r="AD274" i="1" s="1"/>
  <c r="Z286" i="1"/>
  <c r="AD286" i="1" s="1"/>
  <c r="Z266" i="1"/>
  <c r="AD266" i="1" s="1"/>
  <c r="Z278" i="1"/>
  <c r="AD278" i="1" s="1"/>
  <c r="Y344" i="1"/>
  <c r="AC344" i="1" s="1"/>
  <c r="Y336" i="1"/>
  <c r="AC336" i="1" s="1"/>
  <c r="Y328" i="1"/>
  <c r="AC328" i="1" s="1"/>
  <c r="Y320" i="1"/>
  <c r="AC320" i="1" s="1"/>
  <c r="Y312" i="1"/>
  <c r="AC312" i="1" s="1"/>
  <c r="Y304" i="1"/>
  <c r="AC304" i="1" s="1"/>
  <c r="Y296" i="1"/>
  <c r="AC296" i="1" s="1"/>
  <c r="Y288" i="1"/>
  <c r="AC288" i="1" s="1"/>
  <c r="Y280" i="1"/>
  <c r="AC280" i="1" s="1"/>
  <c r="Y272" i="1"/>
  <c r="AC272" i="1" s="1"/>
  <c r="Y264" i="1"/>
  <c r="AC264" i="1" s="1"/>
  <c r="Y256" i="1"/>
  <c r="AC256" i="1" s="1"/>
  <c r="Y248" i="1"/>
  <c r="AC248" i="1" s="1"/>
  <c r="Y240" i="1"/>
  <c r="AC240" i="1" s="1"/>
  <c r="Y232" i="1"/>
  <c r="AC232" i="1" s="1"/>
  <c r="Y224" i="1"/>
  <c r="AC224" i="1" s="1"/>
  <c r="Y216" i="1"/>
  <c r="AC216" i="1" s="1"/>
  <c r="Y200" i="1"/>
  <c r="AC200" i="1" s="1"/>
  <c r="Y192" i="1"/>
  <c r="AC192" i="1" s="1"/>
  <c r="Y176" i="1"/>
  <c r="AC176" i="1" s="1"/>
  <c r="Y168" i="1"/>
  <c r="AC168" i="1" s="1"/>
  <c r="Y160" i="1"/>
  <c r="AC160" i="1" s="1"/>
  <c r="Y152" i="1"/>
  <c r="AC152" i="1" s="1"/>
  <c r="Y144" i="1"/>
  <c r="AC144" i="1" s="1"/>
  <c r="Y128" i="1"/>
  <c r="AC128" i="1" s="1"/>
  <c r="Y120" i="1"/>
  <c r="AC120" i="1" s="1"/>
  <c r="Y112" i="1"/>
  <c r="AC112" i="1" s="1"/>
  <c r="Y104" i="1"/>
  <c r="AC104" i="1" s="1"/>
  <c r="Y96" i="1"/>
  <c r="AC96" i="1" s="1"/>
  <c r="Y88" i="1"/>
  <c r="AC88" i="1" s="1"/>
  <c r="Y80" i="1"/>
  <c r="AC80" i="1" s="1"/>
  <c r="Y64" i="1"/>
  <c r="AC64" i="1" s="1"/>
  <c r="Y56" i="1"/>
  <c r="AC56" i="1" s="1"/>
  <c r="Y48" i="1"/>
  <c r="AC48" i="1" s="1"/>
  <c r="Y40" i="1"/>
  <c r="AC40" i="1" s="1"/>
  <c r="Y32" i="1"/>
  <c r="AC32" i="1" s="1"/>
  <c r="Y24" i="1"/>
  <c r="AC24" i="1" s="1"/>
  <c r="Y16" i="1"/>
  <c r="AC16" i="1" s="1"/>
  <c r="Z345" i="1"/>
  <c r="AD345" i="1" s="1"/>
  <c r="Z337" i="1"/>
  <c r="AD337" i="1" s="1"/>
  <c r="Z329" i="1"/>
  <c r="AD329" i="1" s="1"/>
  <c r="Z321" i="1"/>
  <c r="AD321" i="1" s="1"/>
  <c r="Z313" i="1"/>
  <c r="AD313" i="1" s="1"/>
  <c r="Z305" i="1"/>
  <c r="AD305" i="1" s="1"/>
  <c r="Z297" i="1"/>
  <c r="AD297" i="1" s="1"/>
  <c r="Z289" i="1"/>
  <c r="AD289" i="1" s="1"/>
  <c r="Z281" i="1"/>
  <c r="AD281" i="1" s="1"/>
  <c r="Z273" i="1"/>
  <c r="AD273" i="1" s="1"/>
  <c r="Z265" i="1"/>
  <c r="AD265" i="1" s="1"/>
  <c r="Z257" i="1"/>
  <c r="AD257" i="1" s="1"/>
  <c r="Z249" i="1"/>
  <c r="AD249" i="1" s="1"/>
  <c r="Z241" i="1"/>
  <c r="AD241" i="1" s="1"/>
  <c r="Z233" i="1"/>
  <c r="AD233" i="1" s="1"/>
  <c r="Z225" i="1"/>
  <c r="AD225" i="1" s="1"/>
  <c r="Z217" i="1"/>
  <c r="AD217" i="1" s="1"/>
  <c r="Z209" i="1"/>
  <c r="AD209" i="1" s="1"/>
  <c r="Z201" i="1"/>
  <c r="AD201" i="1" s="1"/>
  <c r="Z193" i="1"/>
  <c r="AD193" i="1" s="1"/>
  <c r="Z185" i="1"/>
  <c r="AD185" i="1" s="1"/>
  <c r="Z177" i="1"/>
  <c r="AD177" i="1" s="1"/>
  <c r="Z169" i="1"/>
  <c r="AD169" i="1" s="1"/>
  <c r="Z161" i="1"/>
  <c r="AD161" i="1" s="1"/>
  <c r="Z153" i="1"/>
  <c r="AD153" i="1" s="1"/>
  <c r="Z145" i="1"/>
  <c r="AD145" i="1" s="1"/>
  <c r="Z137" i="1"/>
  <c r="AD137" i="1" s="1"/>
  <c r="Z129" i="1"/>
  <c r="AD129" i="1" s="1"/>
  <c r="Z121" i="1"/>
  <c r="AD121" i="1" s="1"/>
  <c r="Z113" i="1"/>
  <c r="AD113" i="1" s="1"/>
  <c r="Z105" i="1"/>
  <c r="AD105" i="1" s="1"/>
  <c r="Z97" i="1"/>
  <c r="AD97" i="1" s="1"/>
  <c r="Z89" i="1"/>
  <c r="AD89" i="1" s="1"/>
  <c r="Z81" i="1"/>
  <c r="AD81" i="1" s="1"/>
  <c r="Z73" i="1"/>
  <c r="AD73" i="1" s="1"/>
  <c r="Z65" i="1"/>
  <c r="AD65" i="1" s="1"/>
  <c r="Z57" i="1"/>
  <c r="AD57" i="1" s="1"/>
  <c r="Z49" i="1"/>
  <c r="AD49" i="1" s="1"/>
  <c r="Z41" i="1"/>
  <c r="AD41" i="1" s="1"/>
  <c r="Z33" i="1"/>
  <c r="AD33" i="1" s="1"/>
  <c r="Z25" i="1"/>
  <c r="AD25" i="1" s="1"/>
  <c r="Z17" i="1"/>
  <c r="AD17" i="1" s="1"/>
  <c r="AA346" i="1"/>
  <c r="AE346" i="1" s="1"/>
  <c r="AA274" i="1"/>
  <c r="AE274" i="1" s="1"/>
  <c r="AA242" i="1"/>
  <c r="AE242" i="1" s="1"/>
  <c r="AA130" i="1"/>
  <c r="AE130" i="1" s="1"/>
  <c r="Y309" i="1"/>
  <c r="AC309" i="1" s="1"/>
  <c r="Y271" i="1"/>
  <c r="AC271" i="1" s="1"/>
  <c r="Y226" i="1"/>
  <c r="AC226" i="1" s="1"/>
  <c r="Y261" i="1"/>
  <c r="AC261" i="1" s="1"/>
  <c r="Y117" i="1"/>
  <c r="AC117" i="1" s="1"/>
  <c r="Y341" i="1"/>
  <c r="AC341" i="1" s="1"/>
  <c r="Y303" i="1"/>
  <c r="AC303" i="1" s="1"/>
  <c r="Y165" i="1"/>
  <c r="AC165" i="1" s="1"/>
  <c r="Y46" i="1"/>
  <c r="AC46" i="1" s="1"/>
  <c r="Y293" i="1"/>
  <c r="AC293" i="1" s="1"/>
  <c r="Y255" i="1"/>
  <c r="AC255" i="1" s="1"/>
  <c r="Y208" i="1"/>
  <c r="AC208" i="1" s="1"/>
  <c r="Y110" i="1"/>
  <c r="AC110" i="1" s="1"/>
  <c r="Y45" i="1"/>
  <c r="AC45" i="1" s="1"/>
  <c r="Y335" i="1"/>
  <c r="AC335" i="1" s="1"/>
  <c r="Y245" i="1"/>
  <c r="AC245" i="1" s="1"/>
  <c r="Z292" i="1"/>
  <c r="AD292" i="1" s="1"/>
  <c r="Z304" i="1"/>
  <c r="AD304" i="1" s="1"/>
  <c r="Z212" i="1"/>
  <c r="AD212" i="1" s="1"/>
  <c r="Z224" i="1"/>
  <c r="AD224" i="1" s="1"/>
  <c r="Z148" i="1"/>
  <c r="AD148" i="1" s="1"/>
  <c r="Z160" i="1"/>
  <c r="AD160" i="1" s="1"/>
  <c r="Z100" i="1"/>
  <c r="AD100" i="1" s="1"/>
  <c r="Z112" i="1"/>
  <c r="AD112" i="1" s="1"/>
  <c r="Z68" i="1"/>
  <c r="AD68" i="1" s="1"/>
  <c r="Z80" i="1"/>
  <c r="AD80" i="1" s="1"/>
  <c r="Z52" i="1"/>
  <c r="AD52" i="1" s="1"/>
  <c r="Z64" i="1"/>
  <c r="AD64" i="1" s="1"/>
  <c r="AB262" i="1"/>
  <c r="AF262" i="1" s="1"/>
  <c r="AB274" i="1"/>
  <c r="AF274" i="1" s="1"/>
  <c r="AB62" i="1"/>
  <c r="AF62" i="1" s="1"/>
  <c r="AB74" i="1"/>
  <c r="AF74" i="1" s="1"/>
  <c r="Y325" i="1"/>
  <c r="AC325" i="1" s="1"/>
  <c r="Y287" i="1"/>
  <c r="AC287" i="1" s="1"/>
  <c r="Y190" i="1"/>
  <c r="AC190" i="1" s="1"/>
  <c r="Z267" i="1"/>
  <c r="AD267" i="1" s="1"/>
  <c r="Z279" i="1"/>
  <c r="AD279" i="1" s="1"/>
  <c r="Z203" i="1"/>
  <c r="AD203" i="1" s="1"/>
  <c r="Z215" i="1"/>
  <c r="AD215" i="1" s="1"/>
  <c r="Z187" i="1"/>
  <c r="AD187" i="1" s="1"/>
  <c r="Z199" i="1"/>
  <c r="AD199" i="1" s="1"/>
  <c r="Z139" i="1"/>
  <c r="AD139" i="1" s="1"/>
  <c r="Z151" i="1"/>
  <c r="AD151" i="1" s="1"/>
  <c r="Z67" i="1"/>
  <c r="AD67" i="1" s="1"/>
  <c r="Z79" i="1"/>
  <c r="AD79" i="1" s="1"/>
  <c r="Z19" i="1"/>
  <c r="AD19" i="1" s="1"/>
  <c r="Z31" i="1"/>
  <c r="AD31" i="1" s="1"/>
  <c r="AA244" i="1"/>
  <c r="AE244" i="1" s="1"/>
  <c r="AA256" i="1"/>
  <c r="AE256" i="1" s="1"/>
  <c r="Y277" i="1"/>
  <c r="AC277" i="1" s="1"/>
  <c r="Y189" i="1"/>
  <c r="AC189" i="1" s="1"/>
  <c r="AA235" i="1"/>
  <c r="AE235" i="1" s="1"/>
  <c r="AA247" i="1"/>
  <c r="AE247" i="1" s="1"/>
  <c r="AA171" i="1"/>
  <c r="AE171" i="1" s="1"/>
  <c r="AA183" i="1"/>
  <c r="AE183" i="1" s="1"/>
  <c r="AB180" i="1"/>
  <c r="AF180" i="1" s="1"/>
  <c r="AB192" i="1"/>
  <c r="AF192" i="1" s="1"/>
  <c r="Y319" i="1"/>
  <c r="AC319" i="1" s="1"/>
  <c r="Y134" i="1"/>
  <c r="AC134" i="1" s="1"/>
  <c r="AA338" i="1"/>
  <c r="AE338" i="1" s="1"/>
  <c r="AA314" i="1"/>
  <c r="AE314" i="1" s="1"/>
  <c r="AA306" i="1"/>
  <c r="AE306" i="1" s="1"/>
  <c r="AA298" i="1"/>
  <c r="AE298" i="1" s="1"/>
  <c r="AA290" i="1"/>
  <c r="AE290" i="1" s="1"/>
  <c r="AA282" i="1"/>
  <c r="AE282" i="1" s="1"/>
  <c r="AA266" i="1"/>
  <c r="AE266" i="1" s="1"/>
  <c r="Y221" i="1"/>
  <c r="AC221" i="1" s="1"/>
  <c r="Y213" i="1"/>
  <c r="AC213" i="1" s="1"/>
  <c r="Y205" i="1"/>
  <c r="AC205" i="1" s="1"/>
  <c r="Y197" i="1"/>
  <c r="AC197" i="1" s="1"/>
  <c r="Y157" i="1"/>
  <c r="AC157" i="1" s="1"/>
  <c r="Y149" i="1"/>
  <c r="AC149" i="1" s="1"/>
  <c r="Y141" i="1"/>
  <c r="AC141" i="1" s="1"/>
  <c r="Y133" i="1"/>
  <c r="AC133" i="1" s="1"/>
  <c r="Y93" i="1"/>
  <c r="AC93" i="1" s="1"/>
  <c r="Y85" i="1"/>
  <c r="AC85" i="1" s="1"/>
  <c r="Y77" i="1"/>
  <c r="AC77" i="1" s="1"/>
  <c r="Y69" i="1"/>
  <c r="AC69" i="1" s="1"/>
  <c r="Y61" i="1"/>
  <c r="AC61" i="1" s="1"/>
  <c r="Y29" i="1"/>
  <c r="AC29" i="1" s="1"/>
  <c r="Y21" i="1"/>
  <c r="AC21" i="1" s="1"/>
  <c r="Z326" i="1"/>
  <c r="AD326" i="1" s="1"/>
  <c r="Z318" i="1"/>
  <c r="AD318" i="1" s="1"/>
  <c r="Z310" i="1"/>
  <c r="AD310" i="1" s="1"/>
  <c r="Z302" i="1"/>
  <c r="AD302" i="1" s="1"/>
  <c r="Z294" i="1"/>
  <c r="AD294" i="1" s="1"/>
  <c r="Z262" i="1"/>
  <c r="AD262" i="1" s="1"/>
  <c r="Z254" i="1"/>
  <c r="AD254" i="1" s="1"/>
  <c r="Z246" i="1"/>
  <c r="AD246" i="1" s="1"/>
  <c r="Z238" i="1"/>
  <c r="AD238" i="1" s="1"/>
  <c r="Z230" i="1"/>
  <c r="AD230" i="1" s="1"/>
  <c r="Z222" i="1"/>
  <c r="AD222" i="1" s="1"/>
  <c r="Z214" i="1"/>
  <c r="AD214" i="1" s="1"/>
  <c r="Z206" i="1"/>
  <c r="AD206" i="1" s="1"/>
  <c r="Z198" i="1"/>
  <c r="AD198" i="1" s="1"/>
  <c r="Z190" i="1"/>
  <c r="AD190" i="1" s="1"/>
  <c r="Z182" i="1"/>
  <c r="AD182" i="1" s="1"/>
  <c r="Z174" i="1"/>
  <c r="AD174" i="1" s="1"/>
  <c r="Z166" i="1"/>
  <c r="AD166" i="1" s="1"/>
  <c r="Z158" i="1"/>
  <c r="AD158" i="1" s="1"/>
  <c r="Z150" i="1"/>
  <c r="AD150" i="1" s="1"/>
  <c r="Z142" i="1"/>
  <c r="AD142" i="1" s="1"/>
  <c r="Z134" i="1"/>
  <c r="AD134" i="1" s="1"/>
  <c r="Z126" i="1"/>
  <c r="AD126" i="1" s="1"/>
  <c r="Z118" i="1"/>
  <c r="AD118" i="1" s="1"/>
  <c r="Z110" i="1"/>
  <c r="AD110" i="1" s="1"/>
  <c r="Z102" i="1"/>
  <c r="AD102" i="1" s="1"/>
  <c r="Z94" i="1"/>
  <c r="AD94" i="1" s="1"/>
  <c r="Z86" i="1"/>
  <c r="AD86" i="1" s="1"/>
  <c r="Z78" i="1"/>
  <c r="AD78" i="1" s="1"/>
  <c r="Z70" i="1"/>
  <c r="AD70" i="1" s="1"/>
  <c r="Z62" i="1"/>
  <c r="AD62" i="1" s="1"/>
  <c r="Z54" i="1"/>
  <c r="AD54" i="1" s="1"/>
  <c r="Z46" i="1"/>
  <c r="AD46" i="1" s="1"/>
  <c r="Z38" i="1"/>
  <c r="AD38" i="1" s="1"/>
  <c r="Z30" i="1"/>
  <c r="AD30" i="1" s="1"/>
  <c r="Z22" i="1"/>
  <c r="AD22" i="1" s="1"/>
  <c r="AD14" i="1"/>
  <c r="AA343" i="1"/>
  <c r="AE343" i="1" s="1"/>
  <c r="AA335" i="1"/>
  <c r="AE335" i="1" s="1"/>
  <c r="AA327" i="1"/>
  <c r="AE327" i="1" s="1"/>
  <c r="AA319" i="1"/>
  <c r="AE319" i="1" s="1"/>
  <c r="AA311" i="1"/>
  <c r="AE311" i="1" s="1"/>
  <c r="AA303" i="1"/>
  <c r="AE303" i="1" s="1"/>
  <c r="AA295" i="1"/>
  <c r="AE295" i="1" s="1"/>
  <c r="AA287" i="1"/>
  <c r="AE287" i="1" s="1"/>
  <c r="AA279" i="1"/>
  <c r="AE279" i="1" s="1"/>
  <c r="AA271" i="1"/>
  <c r="AE271" i="1" s="1"/>
  <c r="AA263" i="1"/>
  <c r="AE263" i="1" s="1"/>
  <c r="AA255" i="1"/>
  <c r="AE255" i="1" s="1"/>
  <c r="AA239" i="1"/>
  <c r="AE239" i="1" s="1"/>
  <c r="AA231" i="1"/>
  <c r="AE231" i="1" s="1"/>
  <c r="AA223" i="1"/>
  <c r="AE223" i="1" s="1"/>
  <c r="AA215" i="1"/>
  <c r="AE215" i="1" s="1"/>
  <c r="AA207" i="1"/>
  <c r="AE207" i="1" s="1"/>
  <c r="AA199" i="1"/>
  <c r="AE199" i="1" s="1"/>
  <c r="AA191" i="1"/>
  <c r="AE191" i="1" s="1"/>
  <c r="AA175" i="1"/>
  <c r="AE175" i="1" s="1"/>
  <c r="AA167" i="1"/>
  <c r="AE167" i="1" s="1"/>
  <c r="AA159" i="1"/>
  <c r="AE159" i="1" s="1"/>
  <c r="AA151" i="1"/>
  <c r="AE151" i="1" s="1"/>
  <c r="AA143" i="1"/>
  <c r="AE143" i="1" s="1"/>
  <c r="AA135" i="1"/>
  <c r="AE135" i="1" s="1"/>
  <c r="AA127" i="1"/>
  <c r="AE127" i="1" s="1"/>
  <c r="AA119" i="1"/>
  <c r="AE119" i="1" s="1"/>
  <c r="AA111" i="1"/>
  <c r="AE111" i="1" s="1"/>
  <c r="AA103" i="1"/>
  <c r="AE103" i="1" s="1"/>
  <c r="AA95" i="1"/>
  <c r="AE95" i="1" s="1"/>
  <c r="AA87" i="1"/>
  <c r="AE87" i="1" s="1"/>
  <c r="AA79" i="1"/>
  <c r="AE79" i="1" s="1"/>
  <c r="AA71" i="1"/>
  <c r="AE71" i="1" s="1"/>
  <c r="AA63" i="1"/>
  <c r="AE63" i="1" s="1"/>
  <c r="AA55" i="1"/>
  <c r="AE55" i="1" s="1"/>
  <c r="AA47" i="1"/>
  <c r="AE47" i="1" s="1"/>
  <c r="AA39" i="1"/>
  <c r="AE39" i="1" s="1"/>
  <c r="AA31" i="1"/>
  <c r="AE31" i="1" s="1"/>
  <c r="AA23" i="1"/>
  <c r="AE23" i="1" s="1"/>
  <c r="AA15" i="1"/>
  <c r="AE15" i="1" s="1"/>
  <c r="AB344" i="1"/>
  <c r="AF344" i="1" s="1"/>
  <c r="AB336" i="1"/>
  <c r="AF336" i="1" s="1"/>
  <c r="AB328" i="1"/>
  <c r="AF328" i="1" s="1"/>
  <c r="AB320" i="1"/>
  <c r="AF320" i="1" s="1"/>
  <c r="AB312" i="1"/>
  <c r="AF312" i="1" s="1"/>
  <c r="AB304" i="1"/>
  <c r="AF304" i="1" s="1"/>
  <c r="AB296" i="1"/>
  <c r="AF296" i="1" s="1"/>
  <c r="AB288" i="1"/>
  <c r="AF288" i="1" s="1"/>
  <c r="AB280" i="1"/>
  <c r="AF280" i="1" s="1"/>
  <c r="AB272" i="1"/>
  <c r="AF272" i="1" s="1"/>
  <c r="AB264" i="1"/>
  <c r="AF264" i="1" s="1"/>
  <c r="AB248" i="1"/>
  <c r="AF248" i="1" s="1"/>
  <c r="AB240" i="1"/>
  <c r="AF240" i="1" s="1"/>
  <c r="AB232" i="1"/>
  <c r="AF232" i="1" s="1"/>
  <c r="AB224" i="1"/>
  <c r="AF224" i="1" s="1"/>
  <c r="AB216" i="1"/>
  <c r="AF216" i="1" s="1"/>
  <c r="AB208" i="1"/>
  <c r="AF208" i="1" s="1"/>
  <c r="AB200" i="1"/>
  <c r="AF200" i="1" s="1"/>
  <c r="AB184" i="1"/>
  <c r="AF184" i="1" s="1"/>
  <c r="AB176" i="1"/>
  <c r="AF176" i="1" s="1"/>
  <c r="AB168" i="1"/>
  <c r="AF168" i="1" s="1"/>
  <c r="AB160" i="1"/>
  <c r="AF160" i="1" s="1"/>
  <c r="AB152" i="1"/>
  <c r="AF152" i="1" s="1"/>
  <c r="AB144" i="1"/>
  <c r="AF144" i="1" s="1"/>
  <c r="AB136" i="1"/>
  <c r="AF136" i="1" s="1"/>
  <c r="AB128" i="1"/>
  <c r="AF128" i="1" s="1"/>
  <c r="AB120" i="1"/>
  <c r="AF120" i="1" s="1"/>
  <c r="AB112" i="1"/>
  <c r="AF112" i="1" s="1"/>
  <c r="AB96" i="1"/>
  <c r="AF96" i="1" s="1"/>
  <c r="AB80" i="1"/>
  <c r="AF80" i="1" s="1"/>
  <c r="AB72" i="1"/>
  <c r="AF72" i="1" s="1"/>
  <c r="AB64" i="1"/>
  <c r="AF64" i="1" s="1"/>
  <c r="AB56" i="1"/>
  <c r="AF56" i="1" s="1"/>
  <c r="AB48" i="1"/>
  <c r="AF48" i="1" s="1"/>
  <c r="AB32" i="1"/>
  <c r="AF32" i="1" s="1"/>
  <c r="AB24" i="1"/>
  <c r="AF24" i="1" s="1"/>
  <c r="AB16" i="1"/>
  <c r="AF16" i="1" s="1"/>
  <c r="AB104" i="1"/>
  <c r="AF104" i="1" s="1"/>
  <c r="AB88" i="1"/>
  <c r="AF88" i="1" s="1"/>
  <c r="AF108" i="1"/>
  <c r="AF100" i="1"/>
  <c r="AF92" i="1"/>
  <c r="AF84" i="1"/>
  <c r="AF76" i="1"/>
  <c r="AF68" i="1"/>
  <c r="AF60" i="1"/>
  <c r="AF52" i="1"/>
  <c r="AF44" i="1"/>
  <c r="AF36" i="1"/>
  <c r="AF28" i="1"/>
  <c r="AF20" i="1"/>
  <c r="AA234" i="1"/>
  <c r="AE234" i="1" s="1"/>
  <c r="AA226" i="1"/>
  <c r="AE226" i="1" s="1"/>
  <c r="AA218" i="1"/>
  <c r="AE218" i="1" s="1"/>
  <c r="AA210" i="1"/>
  <c r="AE210" i="1" s="1"/>
  <c r="AA202" i="1"/>
  <c r="AE202" i="1" s="1"/>
  <c r="AA194" i="1"/>
  <c r="AE194" i="1" s="1"/>
  <c r="AA186" i="1"/>
  <c r="AE186" i="1" s="1"/>
  <c r="AA178" i="1"/>
  <c r="AE178" i="1" s="1"/>
  <c r="AA170" i="1"/>
  <c r="AE170" i="1" s="1"/>
  <c r="AA162" i="1"/>
  <c r="AE162" i="1" s="1"/>
  <c r="AA154" i="1"/>
  <c r="AE154" i="1" s="1"/>
  <c r="AA146" i="1"/>
  <c r="AE146" i="1" s="1"/>
  <c r="AA138" i="1"/>
  <c r="AE138" i="1" s="1"/>
  <c r="AA122" i="1"/>
  <c r="AE122" i="1" s="1"/>
  <c r="AA114" i="1"/>
  <c r="AE114" i="1" s="1"/>
  <c r="AA106" i="1"/>
  <c r="AE106" i="1" s="1"/>
  <c r="AA98" i="1"/>
  <c r="AE98" i="1" s="1"/>
  <c r="AA90" i="1"/>
  <c r="AE90" i="1" s="1"/>
  <c r="AA82" i="1"/>
  <c r="AE82" i="1" s="1"/>
  <c r="AA74" i="1"/>
  <c r="AE74" i="1" s="1"/>
  <c r="AA66" i="1"/>
  <c r="AE66" i="1" s="1"/>
  <c r="AA58" i="1"/>
  <c r="AE58" i="1" s="1"/>
  <c r="AA50" i="1"/>
  <c r="AE50" i="1" s="1"/>
  <c r="AA42" i="1"/>
  <c r="AE42" i="1" s="1"/>
  <c r="AA34" i="1"/>
  <c r="AE34" i="1" s="1"/>
  <c r="AA26" i="1"/>
  <c r="AE26" i="1" s="1"/>
  <c r="AA18" i="1"/>
  <c r="AE18" i="1" s="1"/>
  <c r="AB339" i="1"/>
  <c r="AF339" i="1" s="1"/>
  <c r="AB331" i="1"/>
  <c r="AF331" i="1" s="1"/>
  <c r="AB323" i="1"/>
  <c r="AF323" i="1" s="1"/>
  <c r="AB315" i="1"/>
  <c r="AF315" i="1" s="1"/>
  <c r="AB307" i="1"/>
  <c r="AF307" i="1" s="1"/>
  <c r="AB299" i="1"/>
  <c r="AF299" i="1" s="1"/>
  <c r="AB291" i="1"/>
  <c r="AF291" i="1" s="1"/>
  <c r="AB283" i="1"/>
  <c r="AF283" i="1" s="1"/>
  <c r="AB275" i="1"/>
  <c r="AF275" i="1" s="1"/>
  <c r="AB267" i="1"/>
  <c r="AF267" i="1" s="1"/>
  <c r="AB259" i="1"/>
  <c r="AF259" i="1" s="1"/>
  <c r="AB251" i="1"/>
  <c r="AF251" i="1" s="1"/>
  <c r="AB243" i="1"/>
  <c r="AF243" i="1" s="1"/>
  <c r="AB235" i="1"/>
  <c r="AF235" i="1" s="1"/>
  <c r="AB227" i="1"/>
  <c r="AF227" i="1" s="1"/>
  <c r="AB219" i="1"/>
  <c r="AF219" i="1" s="1"/>
  <c r="AB211" i="1"/>
  <c r="AF211" i="1" s="1"/>
  <c r="AB203" i="1"/>
  <c r="AF203" i="1" s="1"/>
  <c r="AB195" i="1"/>
  <c r="AF195" i="1" s="1"/>
  <c r="AB187" i="1"/>
  <c r="AF187" i="1" s="1"/>
  <c r="AB179" i="1"/>
  <c r="AF179" i="1" s="1"/>
  <c r="AB171" i="1"/>
  <c r="AF171" i="1" s="1"/>
  <c r="AB163" i="1"/>
  <c r="AF163" i="1" s="1"/>
  <c r="AB155" i="1"/>
  <c r="AF155" i="1" s="1"/>
  <c r="AB147" i="1"/>
  <c r="AF147" i="1" s="1"/>
  <c r="AB139" i="1"/>
  <c r="AF139" i="1" s="1"/>
  <c r="AB131" i="1"/>
  <c r="AF131" i="1" s="1"/>
  <c r="AB123" i="1"/>
  <c r="AF123" i="1" s="1"/>
  <c r="AB115" i="1"/>
  <c r="AF115" i="1" s="1"/>
  <c r="AB107" i="1"/>
  <c r="AF107" i="1" s="1"/>
  <c r="AB99" i="1"/>
  <c r="AF99" i="1" s="1"/>
  <c r="AB91" i="1"/>
  <c r="AF91" i="1" s="1"/>
  <c r="AB83" i="1"/>
  <c r="AF83" i="1" s="1"/>
  <c r="AB75" i="1"/>
  <c r="AF75" i="1" s="1"/>
  <c r="AB67" i="1"/>
  <c r="AF67" i="1" s="1"/>
  <c r="AB59" i="1"/>
  <c r="AF59" i="1" s="1"/>
  <c r="AB51" i="1"/>
  <c r="AF51" i="1" s="1"/>
  <c r="AB43" i="1"/>
  <c r="AF43" i="1" s="1"/>
  <c r="AB35" i="1"/>
  <c r="AF35" i="1" s="1"/>
  <c r="AB27" i="1"/>
  <c r="AF27" i="1" s="1"/>
  <c r="AB19" i="1"/>
  <c r="AF19" i="1" s="1"/>
  <c r="AA330" i="1"/>
  <c r="AE330" i="1" s="1"/>
  <c r="AA258" i="1"/>
  <c r="AE258" i="1" s="1"/>
  <c r="Y239" i="1"/>
  <c r="AC239" i="1" s="1"/>
  <c r="Y231" i="1"/>
  <c r="AC231" i="1" s="1"/>
  <c r="Y223" i="1"/>
  <c r="AC223" i="1" s="1"/>
  <c r="Y215" i="1"/>
  <c r="AC215" i="1" s="1"/>
  <c r="Y207" i="1"/>
  <c r="AC207" i="1" s="1"/>
  <c r="Y199" i="1"/>
  <c r="AC199" i="1" s="1"/>
  <c r="Y191" i="1"/>
  <c r="AC191" i="1" s="1"/>
  <c r="Y183" i="1"/>
  <c r="AC183" i="1" s="1"/>
  <c r="Y175" i="1"/>
  <c r="AC175" i="1" s="1"/>
  <c r="Y167" i="1"/>
  <c r="AC167" i="1" s="1"/>
  <c r="Y159" i="1"/>
  <c r="AC159" i="1" s="1"/>
  <c r="Y151" i="1"/>
  <c r="AC151" i="1" s="1"/>
  <c r="Y143" i="1"/>
  <c r="AC143" i="1" s="1"/>
  <c r="Y135" i="1"/>
  <c r="AC135" i="1" s="1"/>
  <c r="Y127" i="1"/>
  <c r="AC127" i="1" s="1"/>
  <c r="Y119" i="1"/>
  <c r="AC119" i="1" s="1"/>
  <c r="Y111" i="1"/>
  <c r="AC111" i="1" s="1"/>
  <c r="Y103" i="1"/>
  <c r="AC103" i="1" s="1"/>
  <c r="Y95" i="1"/>
  <c r="AC95" i="1" s="1"/>
  <c r="Y87" i="1"/>
  <c r="AC87" i="1" s="1"/>
  <c r="Y79" i="1"/>
  <c r="AC79" i="1" s="1"/>
  <c r="Y71" i="1"/>
  <c r="AC71" i="1" s="1"/>
  <c r="Y63" i="1"/>
  <c r="AC63" i="1" s="1"/>
  <c r="Y55" i="1"/>
  <c r="AC55" i="1" s="1"/>
  <c r="Y47" i="1"/>
  <c r="AC47" i="1" s="1"/>
  <c r="Y39" i="1"/>
  <c r="AC39" i="1" s="1"/>
  <c r="Y31" i="1"/>
  <c r="AC31" i="1" s="1"/>
  <c r="Y23" i="1"/>
  <c r="AC23" i="1" s="1"/>
  <c r="AC15" i="1"/>
  <c r="Z344" i="1"/>
  <c r="AD344" i="1" s="1"/>
  <c r="Z336" i="1"/>
  <c r="AD336" i="1" s="1"/>
  <c r="Z328" i="1"/>
  <c r="AD328" i="1" s="1"/>
  <c r="Z320" i="1"/>
  <c r="AD320" i="1" s="1"/>
  <c r="Z312" i="1"/>
  <c r="AD312" i="1" s="1"/>
  <c r="Z280" i="1"/>
  <c r="AD280" i="1" s="1"/>
  <c r="Z272" i="1"/>
  <c r="AD272" i="1" s="1"/>
  <c r="Z264" i="1"/>
  <c r="AD264" i="1" s="1"/>
  <c r="Z256" i="1"/>
  <c r="AD256" i="1" s="1"/>
  <c r="Z248" i="1"/>
  <c r="AD248" i="1" s="1"/>
  <c r="Z232" i="1"/>
  <c r="AD232" i="1" s="1"/>
  <c r="Z216" i="1"/>
  <c r="AD216" i="1" s="1"/>
  <c r="Z208" i="1"/>
  <c r="AD208" i="1" s="1"/>
  <c r="Z192" i="1"/>
  <c r="AD192" i="1" s="1"/>
  <c r="Z184" i="1"/>
  <c r="AD184" i="1" s="1"/>
  <c r="Z168" i="1"/>
  <c r="AD168" i="1" s="1"/>
  <c r="Z152" i="1"/>
  <c r="AD152" i="1" s="1"/>
  <c r="Z144" i="1"/>
  <c r="AD144" i="1" s="1"/>
  <c r="Z128" i="1"/>
  <c r="AD128" i="1" s="1"/>
  <c r="Z120" i="1"/>
  <c r="AD120" i="1" s="1"/>
  <c r="Z104" i="1"/>
  <c r="AD104" i="1" s="1"/>
  <c r="Z88" i="1"/>
  <c r="AD88" i="1" s="1"/>
  <c r="Z72" i="1"/>
  <c r="AD72" i="1" s="1"/>
  <c r="Z56" i="1"/>
  <c r="AD56" i="1" s="1"/>
  <c r="Z40" i="1"/>
  <c r="AD40" i="1" s="1"/>
  <c r="Z24" i="1"/>
  <c r="AD24" i="1" s="1"/>
  <c r="AA345" i="1"/>
  <c r="AE345" i="1" s="1"/>
  <c r="AA337" i="1"/>
  <c r="AE337" i="1" s="1"/>
  <c r="AA329" i="1"/>
  <c r="AE329" i="1" s="1"/>
  <c r="AA321" i="1"/>
  <c r="AE321" i="1" s="1"/>
  <c r="AA313" i="1"/>
  <c r="AE313" i="1" s="1"/>
  <c r="AA305" i="1"/>
  <c r="AE305" i="1" s="1"/>
  <c r="AA297" i="1"/>
  <c r="AE297" i="1" s="1"/>
  <c r="AA289" i="1"/>
  <c r="AE289" i="1" s="1"/>
  <c r="AA281" i="1"/>
  <c r="AE281" i="1" s="1"/>
  <c r="AA273" i="1"/>
  <c r="AE273" i="1" s="1"/>
  <c r="AA257" i="1"/>
  <c r="AE257" i="1" s="1"/>
  <c r="AA249" i="1"/>
  <c r="AE249" i="1" s="1"/>
  <c r="AA241" i="1"/>
  <c r="AE241" i="1" s="1"/>
  <c r="AA233" i="1"/>
  <c r="AE233" i="1" s="1"/>
  <c r="AA225" i="1"/>
  <c r="AE225" i="1" s="1"/>
  <c r="AA217" i="1"/>
  <c r="AE217" i="1" s="1"/>
  <c r="AA209" i="1"/>
  <c r="AE209" i="1" s="1"/>
  <c r="AA201" i="1"/>
  <c r="AE201" i="1" s="1"/>
  <c r="AA193" i="1"/>
  <c r="AE193" i="1" s="1"/>
  <c r="AA185" i="1"/>
  <c r="AE185" i="1" s="1"/>
  <c r="AA177" i="1"/>
  <c r="AE177" i="1" s="1"/>
  <c r="AA169" i="1"/>
  <c r="AE169" i="1" s="1"/>
  <c r="AA161" i="1"/>
  <c r="AE161" i="1" s="1"/>
  <c r="AA153" i="1"/>
  <c r="AE153" i="1" s="1"/>
  <c r="AA145" i="1"/>
  <c r="AE145" i="1" s="1"/>
  <c r="AA137" i="1"/>
  <c r="AE137" i="1" s="1"/>
  <c r="AA129" i="1"/>
  <c r="AE129" i="1" s="1"/>
  <c r="AA121" i="1"/>
  <c r="AE121" i="1" s="1"/>
  <c r="AA113" i="1"/>
  <c r="AE113" i="1" s="1"/>
  <c r="AA105" i="1"/>
  <c r="AE105" i="1" s="1"/>
  <c r="AA97" i="1"/>
  <c r="AE97" i="1" s="1"/>
  <c r="AA89" i="1"/>
  <c r="AE89" i="1" s="1"/>
  <c r="AA81" i="1"/>
  <c r="AE81" i="1" s="1"/>
  <c r="AA73" i="1"/>
  <c r="AE73" i="1" s="1"/>
  <c r="AA65" i="1"/>
  <c r="AE65" i="1" s="1"/>
  <c r="AA57" i="1"/>
  <c r="AE57" i="1" s="1"/>
  <c r="AA49" i="1"/>
  <c r="AE49" i="1" s="1"/>
  <c r="AA41" i="1"/>
  <c r="AE41" i="1" s="1"/>
  <c r="AA33" i="1"/>
  <c r="AE33" i="1" s="1"/>
  <c r="AA25" i="1"/>
  <c r="AE25" i="1" s="1"/>
  <c r="AA17" i="1"/>
  <c r="AE17" i="1" s="1"/>
  <c r="AB346" i="1"/>
  <c r="AF346" i="1" s="1"/>
  <c r="AB338" i="1"/>
  <c r="AF338" i="1" s="1"/>
  <c r="AB330" i="1"/>
  <c r="AF330" i="1" s="1"/>
  <c r="AB322" i="1"/>
  <c r="AF322" i="1" s="1"/>
  <c r="AB314" i="1"/>
  <c r="AF314" i="1" s="1"/>
  <c r="AB306" i="1"/>
  <c r="AF306" i="1" s="1"/>
  <c r="AB298" i="1"/>
  <c r="AF298" i="1" s="1"/>
  <c r="AB290" i="1"/>
  <c r="AF290" i="1" s="1"/>
  <c r="AB282" i="1"/>
  <c r="AF282" i="1" s="1"/>
  <c r="AB266" i="1"/>
  <c r="AF266" i="1" s="1"/>
  <c r="AB258" i="1"/>
  <c r="AF258" i="1" s="1"/>
  <c r="AB250" i="1"/>
  <c r="AF250" i="1" s="1"/>
  <c r="AB242" i="1"/>
  <c r="AF242" i="1" s="1"/>
  <c r="AB234" i="1"/>
  <c r="AF234" i="1" s="1"/>
  <c r="AB226" i="1"/>
  <c r="AF226" i="1" s="1"/>
  <c r="AB218" i="1"/>
  <c r="AF218" i="1" s="1"/>
  <c r="AB202" i="1"/>
  <c r="AF202" i="1" s="1"/>
  <c r="AB194" i="1"/>
  <c r="AF194" i="1" s="1"/>
  <c r="AB186" i="1"/>
  <c r="AF186" i="1" s="1"/>
  <c r="AB178" i="1"/>
  <c r="AF178" i="1" s="1"/>
  <c r="AB170" i="1"/>
  <c r="AF170" i="1" s="1"/>
  <c r="AB162" i="1"/>
  <c r="AF162" i="1" s="1"/>
  <c r="AB154" i="1"/>
  <c r="AF154" i="1" s="1"/>
  <c r="AB146" i="1"/>
  <c r="AF146" i="1" s="1"/>
  <c r="AB138" i="1"/>
  <c r="AF138" i="1" s="1"/>
  <c r="AB130" i="1"/>
  <c r="AF130" i="1" s="1"/>
  <c r="AB122" i="1"/>
  <c r="AF122" i="1" s="1"/>
  <c r="AB114" i="1"/>
  <c r="AF114" i="1" s="1"/>
  <c r="AB106" i="1"/>
  <c r="AF106" i="1" s="1"/>
  <c r="AB98" i="1"/>
  <c r="AF98" i="1" s="1"/>
  <c r="AB90" i="1"/>
  <c r="AF90" i="1" s="1"/>
  <c r="AB82" i="1"/>
  <c r="AF82" i="1" s="1"/>
  <c r="AB66" i="1"/>
  <c r="AF66" i="1" s="1"/>
  <c r="AB58" i="1"/>
  <c r="AF58" i="1" s="1"/>
  <c r="AB50" i="1"/>
  <c r="AF50" i="1" s="1"/>
  <c r="AB42" i="1"/>
  <c r="AF42" i="1" s="1"/>
  <c r="AB34" i="1"/>
  <c r="AF34" i="1" s="1"/>
  <c r="AB26" i="1"/>
  <c r="AF26" i="1" s="1"/>
  <c r="AB18" i="1"/>
  <c r="AF18" i="1" s="1"/>
  <c r="AA322" i="1"/>
  <c r="AE322" i="1" s="1"/>
  <c r="AA250" i="1"/>
  <c r="AE250" i="1" s="1"/>
  <c r="Y230" i="1"/>
  <c r="AC230" i="1" s="1"/>
  <c r="Y222" i="1"/>
  <c r="AC222" i="1" s="1"/>
  <c r="Y214" i="1"/>
  <c r="AC214" i="1" s="1"/>
  <c r="Y206" i="1"/>
  <c r="AC206" i="1" s="1"/>
  <c r="Y166" i="1"/>
  <c r="AC166" i="1" s="1"/>
  <c r="Y158" i="1"/>
  <c r="AC158" i="1" s="1"/>
  <c r="Y150" i="1"/>
  <c r="AC150" i="1" s="1"/>
  <c r="Y142" i="1"/>
  <c r="AC142" i="1" s="1"/>
  <c r="Y102" i="1"/>
  <c r="AC102" i="1" s="1"/>
  <c r="Y94" i="1"/>
  <c r="AC94" i="1" s="1"/>
  <c r="Y86" i="1"/>
  <c r="AC86" i="1" s="1"/>
  <c r="Y78" i="1"/>
  <c r="AC78" i="1" s="1"/>
  <c r="Y70" i="1"/>
  <c r="AC70" i="1" s="1"/>
  <c r="Y38" i="1"/>
  <c r="AC38" i="1" s="1"/>
  <c r="Y30" i="1"/>
  <c r="AC30" i="1" s="1"/>
  <c r="Y22" i="1"/>
  <c r="AC22" i="1" s="1"/>
  <c r="AC14" i="1"/>
  <c r="Z335" i="1"/>
  <c r="AD335" i="1" s="1"/>
  <c r="Z327" i="1"/>
  <c r="AD327" i="1" s="1"/>
  <c r="Z319" i="1"/>
  <c r="AD319" i="1" s="1"/>
  <c r="Z311" i="1"/>
  <c r="AD311" i="1" s="1"/>
  <c r="Z303" i="1"/>
  <c r="AD303" i="1" s="1"/>
  <c r="Z271" i="1"/>
  <c r="AD271" i="1" s="1"/>
  <c r="Z263" i="1"/>
  <c r="AD263" i="1" s="1"/>
  <c r="Z255" i="1"/>
  <c r="AD255" i="1" s="1"/>
  <c r="Z247" i="1"/>
  <c r="AD247" i="1" s="1"/>
  <c r="Z231" i="1"/>
  <c r="AD231" i="1" s="1"/>
  <c r="Z223" i="1"/>
  <c r="AD223" i="1" s="1"/>
  <c r="Z207" i="1"/>
  <c r="AD207" i="1" s="1"/>
  <c r="Z191" i="1"/>
  <c r="AD191" i="1" s="1"/>
  <c r="Z183" i="1"/>
  <c r="AD183" i="1" s="1"/>
  <c r="Z167" i="1"/>
  <c r="AD167" i="1" s="1"/>
  <c r="Z159" i="1"/>
  <c r="AD159" i="1" s="1"/>
  <c r="Z143" i="1"/>
  <c r="AD143" i="1" s="1"/>
  <c r="Z127" i="1"/>
  <c r="AD127" i="1" s="1"/>
  <c r="Z119" i="1"/>
  <c r="AD119" i="1" s="1"/>
  <c r="Z103" i="1"/>
  <c r="AD103" i="1" s="1"/>
  <c r="Z87" i="1"/>
  <c r="AD87" i="1" s="1"/>
  <c r="Z71" i="1"/>
  <c r="AD71" i="1" s="1"/>
  <c r="Z55" i="1"/>
  <c r="AD55" i="1" s="1"/>
  <c r="Z39" i="1"/>
  <c r="AD39" i="1" s="1"/>
  <c r="Z23" i="1"/>
  <c r="AD23" i="1" s="1"/>
  <c r="AA344" i="1"/>
  <c r="AE344" i="1" s="1"/>
  <c r="AA336" i="1"/>
  <c r="AE336" i="1" s="1"/>
  <c r="AA328" i="1"/>
  <c r="AE328" i="1" s="1"/>
  <c r="AA320" i="1"/>
  <c r="AE320" i="1" s="1"/>
  <c r="AA312" i="1"/>
  <c r="AE312" i="1" s="1"/>
  <c r="AA304" i="1"/>
  <c r="AE304" i="1" s="1"/>
  <c r="AA296" i="1"/>
  <c r="AE296" i="1" s="1"/>
  <c r="AA288" i="1"/>
  <c r="AE288" i="1" s="1"/>
  <c r="AA280" i="1"/>
  <c r="AE280" i="1" s="1"/>
  <c r="AA272" i="1"/>
  <c r="AE272" i="1" s="1"/>
  <c r="AA264" i="1"/>
  <c r="AE264" i="1" s="1"/>
  <c r="AA248" i="1"/>
  <c r="AE248" i="1" s="1"/>
  <c r="AA240" i="1"/>
  <c r="AE240" i="1" s="1"/>
  <c r="AA232" i="1"/>
  <c r="AE232" i="1" s="1"/>
  <c r="AA224" i="1"/>
  <c r="AE224" i="1" s="1"/>
  <c r="AA216" i="1"/>
  <c r="AE216" i="1" s="1"/>
  <c r="AA208" i="1"/>
  <c r="AE208" i="1" s="1"/>
  <c r="AA200" i="1"/>
  <c r="AE200" i="1" s="1"/>
  <c r="AA192" i="1"/>
  <c r="AE192" i="1" s="1"/>
  <c r="AA184" i="1"/>
  <c r="AE184" i="1" s="1"/>
  <c r="AA176" i="1"/>
  <c r="AE176" i="1" s="1"/>
  <c r="AA168" i="1"/>
  <c r="AE168" i="1" s="1"/>
  <c r="AA160" i="1"/>
  <c r="AE160" i="1" s="1"/>
  <c r="AA152" i="1"/>
  <c r="AE152" i="1" s="1"/>
  <c r="AA144" i="1"/>
  <c r="AE144" i="1" s="1"/>
  <c r="AA136" i="1"/>
  <c r="AE136" i="1" s="1"/>
  <c r="AA128" i="1"/>
  <c r="AE128" i="1" s="1"/>
  <c r="AA120" i="1"/>
  <c r="AE120" i="1" s="1"/>
  <c r="AA112" i="1"/>
  <c r="AE112" i="1" s="1"/>
  <c r="AA104" i="1"/>
  <c r="AE104" i="1" s="1"/>
  <c r="AA96" i="1"/>
  <c r="AE96" i="1" s="1"/>
  <c r="AA88" i="1"/>
  <c r="AE88" i="1" s="1"/>
  <c r="AA80" i="1"/>
  <c r="AE80" i="1" s="1"/>
  <c r="AA72" i="1"/>
  <c r="AE72" i="1" s="1"/>
  <c r="AA64" i="1"/>
  <c r="AE64" i="1" s="1"/>
  <c r="AA56" i="1"/>
  <c r="AE56" i="1" s="1"/>
  <c r="AA48" i="1"/>
  <c r="AE48" i="1" s="1"/>
  <c r="AA40" i="1"/>
  <c r="AE40" i="1" s="1"/>
  <c r="AA32" i="1"/>
  <c r="AE32" i="1" s="1"/>
  <c r="AA24" i="1"/>
  <c r="AE24" i="1" s="1"/>
  <c r="AA16" i="1"/>
  <c r="AE16" i="1" s="1"/>
  <c r="AB345" i="1"/>
  <c r="AF345" i="1" s="1"/>
  <c r="AB337" i="1"/>
  <c r="AF337" i="1" s="1"/>
  <c r="AB329" i="1"/>
  <c r="AF329" i="1" s="1"/>
  <c r="AB321" i="1"/>
  <c r="AF321" i="1" s="1"/>
  <c r="AB313" i="1"/>
  <c r="AF313" i="1" s="1"/>
  <c r="AB305" i="1"/>
  <c r="AF305" i="1" s="1"/>
  <c r="AB297" i="1"/>
  <c r="AF297" i="1" s="1"/>
  <c r="AB289" i="1"/>
  <c r="AF289" i="1" s="1"/>
  <c r="AB281" i="1"/>
  <c r="AF281" i="1" s="1"/>
  <c r="AB273" i="1"/>
  <c r="AF273" i="1" s="1"/>
  <c r="AB257" i="1"/>
  <c r="AF257" i="1" s="1"/>
  <c r="AB249" i="1"/>
  <c r="AF249" i="1" s="1"/>
  <c r="AB241" i="1"/>
  <c r="AF241" i="1" s="1"/>
  <c r="AB233" i="1"/>
  <c r="AF233" i="1" s="1"/>
  <c r="AB225" i="1"/>
  <c r="AF225" i="1" s="1"/>
  <c r="AB217" i="1"/>
  <c r="AF217" i="1" s="1"/>
  <c r="AB209" i="1"/>
  <c r="AF209" i="1" s="1"/>
  <c r="AB193" i="1"/>
  <c r="AF193" i="1" s="1"/>
  <c r="AB185" i="1"/>
  <c r="AF185" i="1" s="1"/>
  <c r="AB177" i="1"/>
  <c r="AF177" i="1" s="1"/>
  <c r="AB169" i="1"/>
  <c r="AF169" i="1" s="1"/>
  <c r="AB161" i="1"/>
  <c r="AF161" i="1" s="1"/>
  <c r="AB153" i="1"/>
  <c r="AF153" i="1" s="1"/>
  <c r="AB145" i="1"/>
  <c r="AF145" i="1" s="1"/>
  <c r="AB137" i="1"/>
  <c r="AF137" i="1" s="1"/>
  <c r="AB129" i="1"/>
  <c r="AF129" i="1" s="1"/>
  <c r="AB121" i="1"/>
  <c r="AF121" i="1" s="1"/>
  <c r="AB113" i="1"/>
  <c r="AF113" i="1" s="1"/>
  <c r="AB105" i="1"/>
  <c r="AF105" i="1" s="1"/>
  <c r="AB97" i="1"/>
  <c r="AF97" i="1" s="1"/>
  <c r="AB89" i="1"/>
  <c r="AF89" i="1" s="1"/>
  <c r="AB81" i="1"/>
  <c r="AF81" i="1" s="1"/>
  <c r="AB73" i="1"/>
  <c r="AF73" i="1" s="1"/>
  <c r="AB65" i="1"/>
  <c r="AF65" i="1" s="1"/>
  <c r="AB57" i="1"/>
  <c r="AF57" i="1" s="1"/>
  <c r="AB49" i="1"/>
  <c r="AF49" i="1" s="1"/>
  <c r="AB41" i="1"/>
  <c r="AF41" i="1" s="1"/>
  <c r="AB33" i="1"/>
  <c r="AF33" i="1" s="1"/>
  <c r="AB25" i="1"/>
  <c r="AF25" i="1" s="1"/>
  <c r="AB17" i="1"/>
  <c r="AF17" i="1" s="1"/>
  <c r="A346" i="1" l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L14" authorId="0" shapeId="0" xr:uid="{43AD9AB9-B169-4DEF-8AE4-A082A788337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Forward 12 months rf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<sst xmlns="http://schemas.openxmlformats.org/spreadsheetml/2006/main" count="66" uniqueCount="43">
  <si>
    <t>Volume</t>
  </si>
  <si>
    <t>Adj Close</t>
  </si>
  <si>
    <t>Close</t>
  </si>
  <si>
    <t>Low</t>
  </si>
  <si>
    <t>High</t>
  </si>
  <si>
    <t>Open</t>
  </si>
  <si>
    <t>Date</t>
  </si>
  <si>
    <t>AEP Adjusted</t>
  </si>
  <si>
    <t>DFSVX Adjusted</t>
  </si>
  <si>
    <t>DFLVX Adjusted</t>
  </si>
  <si>
    <t>FSAGX Adjusted</t>
  </si>
  <si>
    <t>GS1</t>
  </si>
  <si>
    <t>observation_date</t>
  </si>
  <si>
    <t>Frequency: Monthly</t>
  </si>
  <si>
    <t>Market Yield on U.S. Treasury Securities at 1-Year Constant Maturity, Quoted on an Investment Basis, Percent, Monthly, Not Seasonally Adjusted</t>
  </si>
  <si>
    <t>Federal Reserve Bank of St. Louis</t>
  </si>
  <si>
    <t>Economic Research Division</t>
  </si>
  <si>
    <t>Help: https://fredhelp.stlouisfed.org</t>
  </si>
  <si>
    <t>Link: https://fred.stlouisfed.org</t>
  </si>
  <si>
    <t>Federal Reserve Economic Data</t>
  </si>
  <si>
    <t>FRED Graph Observations</t>
  </si>
  <si>
    <t>AEP Annual RoR</t>
  </si>
  <si>
    <t>DFSVX Annual ROR</t>
  </si>
  <si>
    <t>DFLVX Annual RoR</t>
  </si>
  <si>
    <t>FSAGX Annual RoR</t>
  </si>
  <si>
    <t>AEP excess return</t>
  </si>
  <si>
    <t>DFSVX excess return</t>
  </si>
  <si>
    <t>DFLVX excess return</t>
  </si>
  <si>
    <t>FSAGX excess return</t>
  </si>
  <si>
    <t>GS1 (rf in percent)</t>
  </si>
  <si>
    <t>AEP Annual Return</t>
  </si>
  <si>
    <t>DFSVX Annual</t>
  </si>
  <si>
    <t>DFLVX Annual</t>
  </si>
  <si>
    <t>FSAGX Annual</t>
  </si>
  <si>
    <t>GS1 (rf)</t>
  </si>
  <si>
    <t>AEP Excess</t>
  </si>
  <si>
    <t>DFSVX Excess</t>
  </si>
  <si>
    <t>DFLVX Excess</t>
  </si>
  <si>
    <t>FSAGX Excess</t>
  </si>
  <si>
    <t>AEP Premium</t>
  </si>
  <si>
    <t>DFSVX Premium</t>
  </si>
  <si>
    <t>DFLVX Premium</t>
  </si>
  <si>
    <t>FSAGX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</si>
</sst>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2" fillId="0" borderId="0" xfId="1"/>
    <xf numFmtId="2" fontId="2" fillId="0" borderId="0" xfId="1" applyNumberFormat="1"/>
    <xf numFmtId="164" fontId="2" fillId="0" borderId="0" xfId="1" applyNumberFormat="1"/>
    <xf numFmtId="2" fontId="0" fillId="0" borderId="0" xfId="0" applyNumberFormat="1"/>
    <xf numFmtId="0" fontId="1" fillId="0" borderId="0" xfId="0" applyFont="1"/>
    <xf numFmtId="165" fontId="0" fillId="0" borderId="0" xfId="0" applyNumberFormat="1"/>
    <xf numFmtId="10" fontId="1" fillId="0" borderId="0" xfId="2" applyNumberFormat="1" applyFont="1"/>
    <xf numFmtId="10" fontId="0" fillId="0" borderId="0" xfId="2" applyNumberFormat="1" applyFont="1"/>
    <xf numFmtId="10" fontId="0" fillId="0" borderId="0" xfId="0" applyNumberFormat="1"/>
  </cellXfs>
  <cellStyles count="3">
    <cellStyle name="Normal" xfId="0" builtinId="0"/>
    <cellStyle name="Normal 2" xfId="1" xr:uid="{9FE00F21-AAD2-074B-8EED-79456EB8D03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6DAC-58FE-C342-BFB8-216D578D7D41}">
  <dimension ref="A1:AF3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19921875" defaultRowHeight="15.6" outlineLevelCol="1" x14ac:dyDescent="0.3"/>
  <cols>
    <col min="2" max="2" width="12" bestFit="1" customWidth="1"/>
    <col min="3" max="3" width="14.19921875" bestFit="1" customWidth="1"/>
    <col min="4" max="4" width="14" bestFit="1" customWidth="1"/>
    <col min="5" max="5" width="14.3984375" bestFit="1" customWidth="1"/>
    <col min="6" max="6" width="16.19921875" bestFit="1" customWidth="1" outlineLevel="1"/>
    <col min="7" max="7" width="11.19921875" style="9"/>
    <col min="8" max="8" width="17.09765625" bestFit="1" customWidth="1"/>
    <col min="9" max="9" width="12.796875" bestFit="1" customWidth="1"/>
    <col min="10" max="10" width="12.69921875" bestFit="1" customWidth="1"/>
    <col min="11" max="11" width="12.796875" bestFit="1" customWidth="1"/>
    <col min="12" max="12" width="10" bestFit="1" customWidth="1"/>
    <col min="13" max="13" width="12.09765625" bestFit="1" customWidth="1"/>
    <col min="14" max="14" width="12" bestFit="1" customWidth="1"/>
    <col min="15" max="15" width="12.09765625" bestFit="1" customWidth="1"/>
    <col min="16" max="16" width="15.69921875" customWidth="1"/>
    <col min="25" max="25" width="14.296875" hidden="1" customWidth="1"/>
    <col min="26" max="26" width="17" hidden="1" customWidth="1"/>
    <col min="27" max="27" width="16.5" hidden="1" customWidth="1"/>
    <col min="28" max="28" width="16.796875" hidden="1" customWidth="1"/>
    <col min="29" max="29" width="15.69921875" hidden="1" customWidth="1"/>
    <col min="30" max="30" width="18" hidden="1" customWidth="1"/>
    <col min="31" max="31" width="17.796875" hidden="1" customWidth="1"/>
    <col min="32" max="32" width="18.19921875" hidden="1" customWidth="1"/>
  </cols>
  <sheetData>
    <row r="1" spans="1:32" x14ac:dyDescent="0.3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29</v>
      </c>
      <c r="G1" s="8" t="s">
        <v>34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35</v>
      </c>
      <c r="M1" s="6" t="s">
        <v>36</v>
      </c>
      <c r="N1" s="6" t="s">
        <v>37</v>
      </c>
      <c r="O1" s="6" t="s">
        <v>38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</row>
    <row r="2" spans="1:32" x14ac:dyDescent="0.3">
      <c r="A2" s="1" cm="1">
        <f t="array" ref="A2:A346">AEP!A2:A346</f>
        <v>34700</v>
      </c>
      <c r="B2">
        <f>AEP!F2</f>
        <v>9.2322220000000002</v>
      </c>
      <c r="C2">
        <f>DFSVX!F2</f>
        <v>1.9893080000000001</v>
      </c>
      <c r="D2">
        <f>DFLVX!F2</f>
        <v>2.739182</v>
      </c>
      <c r="E2">
        <f>FSAGX!F2</f>
        <v>7.7144000000000004</v>
      </c>
      <c r="F2" s="5">
        <f>'FRED Graph'!B12</f>
        <v>7.05</v>
      </c>
      <c r="G2" s="9">
        <f>F2/100</f>
        <v>7.0499999999999993E-2</v>
      </c>
    </row>
    <row r="3" spans="1:32" x14ac:dyDescent="0.3">
      <c r="A3" s="1">
        <v>34731</v>
      </c>
      <c r="B3">
        <f>AEP!F3</f>
        <v>8.9354650000000007</v>
      </c>
      <c r="C3">
        <f>DFSVX!F3</f>
        <v>2.0594769999999998</v>
      </c>
      <c r="D3">
        <f>DFLVX!F3</f>
        <v>2.894485</v>
      </c>
      <c r="E3">
        <f>FSAGX!F3</f>
        <v>7.9783229999999996</v>
      </c>
      <c r="F3" s="5">
        <f>'FRED Graph'!B13</f>
        <v>6.7</v>
      </c>
      <c r="G3" s="9">
        <f t="shared" ref="G3:G66" si="0">F3/100</f>
        <v>6.7000000000000004E-2</v>
      </c>
    </row>
    <row r="4" spans="1:32" x14ac:dyDescent="0.3">
      <c r="A4" s="1">
        <v>34759</v>
      </c>
      <c r="B4">
        <f>AEP!F4</f>
        <v>8.5178969999999996</v>
      </c>
      <c r="C4">
        <f>DFSVX!F4</f>
        <v>2.0840369999999999</v>
      </c>
      <c r="D4">
        <f>DFLVX!F4</f>
        <v>2.9266169999999998</v>
      </c>
      <c r="E4">
        <f>FSAGX!F4</f>
        <v>9.2027640000000002</v>
      </c>
      <c r="F4" s="5">
        <f>'FRED Graph'!B14</f>
        <v>6.43</v>
      </c>
      <c r="G4" s="9">
        <f t="shared" si="0"/>
        <v>6.4299999999999996E-2</v>
      </c>
    </row>
    <row r="5" spans="1:32" x14ac:dyDescent="0.3">
      <c r="A5" s="1">
        <v>34790</v>
      </c>
      <c r="B5">
        <f>AEP!F5</f>
        <v>8.7861770000000003</v>
      </c>
      <c r="C5">
        <f>DFSVX!F5</f>
        <v>2.157715</v>
      </c>
      <c r="D5">
        <f>DFLVX!F5</f>
        <v>3.044921</v>
      </c>
      <c r="E5">
        <f>FSAGX!F5</f>
        <v>9.1681530000000002</v>
      </c>
      <c r="F5" s="5">
        <f>'FRED Graph'!B15</f>
        <v>6.27</v>
      </c>
      <c r="G5" s="9">
        <f t="shared" si="0"/>
        <v>6.2699999999999992E-2</v>
      </c>
    </row>
    <row r="6" spans="1:32" x14ac:dyDescent="0.3">
      <c r="A6" s="1">
        <v>34820</v>
      </c>
      <c r="B6">
        <f>AEP!F6</f>
        <v>9.1885949999999994</v>
      </c>
      <c r="C6">
        <f>DFSVX!F6</f>
        <v>2.2173600000000002</v>
      </c>
      <c r="D6">
        <f>DFLVX!F6</f>
        <v>3.2036229999999999</v>
      </c>
      <c r="E6">
        <f>FSAGX!F6</f>
        <v>9.3585229999999999</v>
      </c>
      <c r="F6" s="5">
        <f>'FRED Graph'!B16</f>
        <v>6</v>
      </c>
      <c r="G6" s="9">
        <f t="shared" si="0"/>
        <v>0.06</v>
      </c>
      <c r="P6" s="6" t="s">
        <v>39</v>
      </c>
      <c r="Q6" s="10">
        <f>AVERAGE(L14:L346)</f>
        <v>3.0508810353741686E-2</v>
      </c>
    </row>
    <row r="7" spans="1:32" x14ac:dyDescent="0.3">
      <c r="A7" s="1">
        <v>34851</v>
      </c>
      <c r="B7">
        <f>AEP!F7</f>
        <v>9.5998900000000003</v>
      </c>
      <c r="C7">
        <f>DFSVX!F7</f>
        <v>2.3050709999999999</v>
      </c>
      <c r="D7">
        <f>DFLVX!F7</f>
        <v>3.2574209999999999</v>
      </c>
      <c r="E7">
        <f>FSAGX!F7</f>
        <v>9.4883229999999994</v>
      </c>
      <c r="F7" s="5">
        <f>'FRED Graph'!B17</f>
        <v>5.64</v>
      </c>
      <c r="G7" s="9">
        <f t="shared" si="0"/>
        <v>5.6399999999999999E-2</v>
      </c>
      <c r="P7" s="6" t="s">
        <v>40</v>
      </c>
      <c r="Q7" s="10">
        <f>AVERAGE(M14:M346)</f>
        <v>6.3102618320965351E-2</v>
      </c>
    </row>
    <row r="8" spans="1:32" x14ac:dyDescent="0.3">
      <c r="A8" s="1">
        <v>34881</v>
      </c>
      <c r="B8">
        <f>AEP!F8</f>
        <v>9.4290710000000004</v>
      </c>
      <c r="C8">
        <f>DFSVX!F8</f>
        <v>2.4296229999999999</v>
      </c>
      <c r="D8">
        <f>DFLVX!F8</f>
        <v>3.4171109999999998</v>
      </c>
      <c r="E8">
        <f>FSAGX!F8</f>
        <v>9.7435939999999999</v>
      </c>
      <c r="F8" s="5">
        <f>'FRED Graph'!B18</f>
        <v>5.59</v>
      </c>
      <c r="G8" s="9">
        <f t="shared" si="0"/>
        <v>5.5899999999999998E-2</v>
      </c>
      <c r="P8" s="6" t="s">
        <v>41</v>
      </c>
      <c r="Q8" s="10">
        <f>AVERAGE(N14:N346)</f>
        <v>4.3646702705304685E-2</v>
      </c>
    </row>
    <row r="9" spans="1:32" x14ac:dyDescent="0.3">
      <c r="A9" s="1">
        <v>34912</v>
      </c>
      <c r="B9">
        <f>AEP!F9</f>
        <v>9.3265899999999995</v>
      </c>
      <c r="C9">
        <f>DFSVX!F9</f>
        <v>2.5068100000000002</v>
      </c>
      <c r="D9">
        <f>DFLVX!F9</f>
        <v>3.5171380000000001</v>
      </c>
      <c r="E9">
        <f>FSAGX!F9</f>
        <v>9.7652269999999994</v>
      </c>
      <c r="F9" s="5">
        <f>'FRED Graph'!B19</f>
        <v>5.75</v>
      </c>
      <c r="G9" s="9">
        <f t="shared" si="0"/>
        <v>5.7500000000000002E-2</v>
      </c>
      <c r="P9" s="6" t="s">
        <v>42</v>
      </c>
      <c r="Q9" s="10">
        <f>AVERAGE(O14:O346)</f>
        <v>6.5205991892480731E-3</v>
      </c>
    </row>
    <row r="10" spans="1:32" x14ac:dyDescent="0.3">
      <c r="A10" s="1">
        <v>34943</v>
      </c>
      <c r="B10">
        <f>AEP!F10</f>
        <v>10.114293</v>
      </c>
      <c r="C10">
        <f>DFSVX!F10</f>
        <v>2.5383849999999999</v>
      </c>
      <c r="D10">
        <f>DFLVX!F10</f>
        <v>3.6144590000000001</v>
      </c>
      <c r="E10">
        <f>FSAGX!F10</f>
        <v>9.7609030000000008</v>
      </c>
      <c r="F10" s="5">
        <f>'FRED Graph'!B20</f>
        <v>5.62</v>
      </c>
      <c r="G10" s="9">
        <f t="shared" si="0"/>
        <v>5.62E-2</v>
      </c>
    </row>
    <row r="11" spans="1:32" x14ac:dyDescent="0.3">
      <c r="A11" s="1">
        <v>34973</v>
      </c>
      <c r="B11">
        <f>AEP!F11</f>
        <v>10.600892999999999</v>
      </c>
      <c r="C11">
        <f>DFSVX!F11</f>
        <v>2.413834</v>
      </c>
      <c r="D11">
        <f>DFLVX!F11</f>
        <v>3.4894210000000001</v>
      </c>
      <c r="E11">
        <f>FSAGX!F11</f>
        <v>8.5840569999999996</v>
      </c>
      <c r="F11" s="5">
        <f>'FRED Graph'!B21</f>
        <v>5.59</v>
      </c>
      <c r="G11" s="9">
        <f t="shared" si="0"/>
        <v>5.5899999999999998E-2</v>
      </c>
    </row>
    <row r="12" spans="1:32" x14ac:dyDescent="0.3">
      <c r="A12" s="1">
        <v>35004</v>
      </c>
      <c r="B12">
        <f>AEP!F12</f>
        <v>10.49662</v>
      </c>
      <c r="C12">
        <f>DFSVX!F12</f>
        <v>2.461198</v>
      </c>
      <c r="D12">
        <f>DFLVX!F12</f>
        <v>3.6173489999999999</v>
      </c>
      <c r="E12">
        <f>FSAGX!F12</f>
        <v>9.3801570000000005</v>
      </c>
      <c r="F12" s="5">
        <f>'FRED Graph'!B22</f>
        <v>5.43</v>
      </c>
      <c r="G12" s="9">
        <f t="shared" si="0"/>
        <v>5.4299999999999994E-2</v>
      </c>
    </row>
    <row r="13" spans="1:32" x14ac:dyDescent="0.3">
      <c r="A13" s="1">
        <v>35034</v>
      </c>
      <c r="B13">
        <f>AEP!F13</f>
        <v>11.441336</v>
      </c>
      <c r="C13">
        <f>DFSVX!F13</f>
        <v>2.535784</v>
      </c>
      <c r="D13">
        <f>DFLVX!F13</f>
        <v>3.6947839999999998</v>
      </c>
      <c r="E13">
        <f>FSAGX!F13</f>
        <v>9.5791830000000004</v>
      </c>
      <c r="F13" s="5">
        <f>'FRED Graph'!B23</f>
        <v>5.31</v>
      </c>
      <c r="G13" s="9">
        <f t="shared" si="0"/>
        <v>5.3099999999999994E-2</v>
      </c>
    </row>
    <row r="14" spans="1:32" x14ac:dyDescent="0.3">
      <c r="A14" s="1">
        <v>35065</v>
      </c>
      <c r="B14">
        <f>AEP!F14</f>
        <v>12.500722</v>
      </c>
      <c r="C14">
        <f>DFSVX!F14</f>
        <v>2.53796</v>
      </c>
      <c r="D14">
        <f>DFLVX!F14</f>
        <v>3.810657</v>
      </c>
      <c r="E14">
        <f>FSAGX!F14</f>
        <v>11.279553</v>
      </c>
      <c r="F14" s="5">
        <f>'FRED Graph'!B24</f>
        <v>5.09</v>
      </c>
      <c r="G14" s="9">
        <f t="shared" si="0"/>
        <v>5.0900000000000001E-2</v>
      </c>
      <c r="H14" s="10">
        <f>(B14-B2)/B2</f>
        <v>0.35403178129815333</v>
      </c>
      <c r="I14" s="10">
        <f t="shared" ref="I14:K29" si="1">(C14-C2)/C2</f>
        <v>0.27580042909393615</v>
      </c>
      <c r="J14" s="10">
        <f t="shared" si="1"/>
        <v>0.39116604884231859</v>
      </c>
      <c r="K14" s="10">
        <f t="shared" si="1"/>
        <v>0.46214261640568283</v>
      </c>
      <c r="L14" s="10">
        <f>H14-$G$2</f>
        <v>0.28353178129815332</v>
      </c>
      <c r="M14" s="10">
        <f t="shared" ref="M14:O14" si="2">I14-$G$2</f>
        <v>0.20530042909393614</v>
      </c>
      <c r="N14" s="10">
        <f t="shared" si="2"/>
        <v>0.32066604884231859</v>
      </c>
      <c r="O14" s="10">
        <f t="shared" si="2"/>
        <v>0.39164261640568282</v>
      </c>
      <c r="Y14" s="7">
        <f t="shared" ref="Y14:Y77" si="3">(B14-B2)/B2</f>
        <v>0.35403178129815333</v>
      </c>
      <c r="Z14" s="7">
        <f t="shared" ref="Z14:Z77" si="4">(C14-C2)/C2</f>
        <v>0.27580042909393615</v>
      </c>
      <c r="AA14" s="7">
        <f t="shared" ref="AA14:AA77" si="5">(D14-D2)/D2</f>
        <v>0.39116604884231859</v>
      </c>
      <c r="AB14" s="7">
        <f t="shared" ref="AB14:AB77" si="6">(E14-E2)/E2</f>
        <v>0.46214261640568283</v>
      </c>
      <c r="AC14" s="7">
        <f>Y14-$F$14/100</f>
        <v>0.30313178129815332</v>
      </c>
      <c r="AD14" s="7">
        <f t="shared" ref="AD14:AF14" si="7">Z14-$F$14/100</f>
        <v>0.22490042909393615</v>
      </c>
      <c r="AE14" s="7">
        <f t="shared" si="7"/>
        <v>0.34026604884231859</v>
      </c>
      <c r="AF14" s="7">
        <f t="shared" si="7"/>
        <v>0.41124261640568283</v>
      </c>
    </row>
    <row r="15" spans="1:32" x14ac:dyDescent="0.3">
      <c r="A15" s="1">
        <v>35096</v>
      </c>
      <c r="B15">
        <f>AEP!F15</f>
        <v>12.112273999999999</v>
      </c>
      <c r="C15">
        <f>DFSVX!F15</f>
        <v>2.593521</v>
      </c>
      <c r="D15">
        <f>DFLVX!F15</f>
        <v>3.866206</v>
      </c>
      <c r="E15">
        <f>FSAGX!F15</f>
        <v>11.729525000000001</v>
      </c>
      <c r="F15" s="5">
        <f>'FRED Graph'!B25</f>
        <v>4.9400000000000004</v>
      </c>
      <c r="G15" s="9">
        <f t="shared" si="0"/>
        <v>4.9400000000000006E-2</v>
      </c>
      <c r="H15" s="10">
        <f t="shared" ref="H15:H78" si="8">(B15-B3)/B3</f>
        <v>0.35552811185539851</v>
      </c>
      <c r="I15" s="10">
        <f t="shared" ref="I15:I78" si="9">(C15-C3)/C3</f>
        <v>0.25931049484893509</v>
      </c>
      <c r="J15" s="10">
        <f t="shared" ref="J15:K78" si="10">(D15-D3)/D3</f>
        <v>0.33571464353762415</v>
      </c>
      <c r="K15" s="10">
        <f t="shared" si="1"/>
        <v>0.47017424589102264</v>
      </c>
      <c r="L15" s="10">
        <f>H15-$G$2</f>
        <v>0.2850281118553985</v>
      </c>
      <c r="M15" s="10">
        <f t="shared" ref="M15:M78" si="11">I15-$G$2</f>
        <v>0.18881049484893508</v>
      </c>
      <c r="N15" s="10">
        <f t="shared" ref="N15:N78" si="12">J15-$G$2</f>
        <v>0.26521464353762414</v>
      </c>
      <c r="O15" s="10">
        <f t="shared" ref="O15:O78" si="13">K15-$G$2</f>
        <v>0.39967424589102263</v>
      </c>
      <c r="Y15" s="7">
        <f t="shared" si="3"/>
        <v>0.35552811185539851</v>
      </c>
      <c r="Z15" s="7">
        <f t="shared" si="4"/>
        <v>0.25931049484893509</v>
      </c>
      <c r="AA15" s="7">
        <f t="shared" si="5"/>
        <v>0.33571464353762415</v>
      </c>
      <c r="AB15" s="7">
        <f t="shared" si="6"/>
        <v>0.47017424589102264</v>
      </c>
      <c r="AC15" s="7">
        <f>Y15-$F$14/100</f>
        <v>0.30462811185539851</v>
      </c>
      <c r="AD15" s="7">
        <f t="shared" ref="AD15:AD78" si="14">Z15-$F$14/100</f>
        <v>0.20841049484893509</v>
      </c>
      <c r="AE15" s="7">
        <f t="shared" ref="AE15:AE78" si="15">AA15-$F$14/100</f>
        <v>0.28481464353762415</v>
      </c>
      <c r="AF15" s="7">
        <f t="shared" ref="AF15:AF78" si="16">AB15-$F$14/100</f>
        <v>0.41927424589102263</v>
      </c>
    </row>
    <row r="16" spans="1:32" x14ac:dyDescent="0.3">
      <c r="A16" s="1">
        <v>35125</v>
      </c>
      <c r="B16">
        <f>AEP!F16</f>
        <v>11.957523</v>
      </c>
      <c r="C16">
        <f>DFSVX!F16</f>
        <v>2.665216</v>
      </c>
      <c r="D16">
        <f>DFLVX!F16</f>
        <v>3.9856389999999999</v>
      </c>
      <c r="E16">
        <f>FSAGX!F16</f>
        <v>12.010754</v>
      </c>
      <c r="F16" s="5">
        <f>'FRED Graph'!B26</f>
        <v>5.34</v>
      </c>
      <c r="G16" s="9">
        <f t="shared" si="0"/>
        <v>5.3399999999999996E-2</v>
      </c>
      <c r="H16" s="10">
        <f t="shared" si="8"/>
        <v>0.4038116450574597</v>
      </c>
      <c r="I16" s="10">
        <f t="shared" si="9"/>
        <v>0.27887172828505452</v>
      </c>
      <c r="J16" s="10">
        <f t="shared" si="10"/>
        <v>0.36185876047327004</v>
      </c>
      <c r="K16" s="10">
        <f t="shared" si="1"/>
        <v>0.30512463429465325</v>
      </c>
      <c r="L16" s="10">
        <f t="shared" ref="L16:L78" si="17">H16-$G$2</f>
        <v>0.33331164505745969</v>
      </c>
      <c r="M16" s="10">
        <f t="shared" si="11"/>
        <v>0.20837172828505451</v>
      </c>
      <c r="N16" s="10">
        <f t="shared" si="12"/>
        <v>0.29135876047327003</v>
      </c>
      <c r="O16" s="10">
        <f t="shared" si="13"/>
        <v>0.23462463429465324</v>
      </c>
      <c r="Y16" s="7">
        <f t="shared" si="3"/>
        <v>0.4038116450574597</v>
      </c>
      <c r="Z16" s="7">
        <f t="shared" si="4"/>
        <v>0.27887172828505452</v>
      </c>
      <c r="AA16" s="7">
        <f t="shared" si="5"/>
        <v>0.36185876047327004</v>
      </c>
      <c r="AB16" s="7">
        <f t="shared" si="6"/>
        <v>0.30512463429465325</v>
      </c>
      <c r="AC16" s="7">
        <f t="shared" ref="AC16:AC78" si="18">Y16-$F$14/100</f>
        <v>0.3529116450574597</v>
      </c>
      <c r="AD16" s="7">
        <f t="shared" si="14"/>
        <v>0.22797172828505452</v>
      </c>
      <c r="AE16" s="7">
        <f t="shared" si="15"/>
        <v>0.31095876047327003</v>
      </c>
      <c r="AF16" s="7">
        <f t="shared" si="16"/>
        <v>0.25422463429465325</v>
      </c>
    </row>
    <row r="17" spans="1:32" x14ac:dyDescent="0.3">
      <c r="A17" s="1">
        <v>35156</v>
      </c>
      <c r="B17">
        <f>AEP!F17</f>
        <v>11.63531</v>
      </c>
      <c r="C17">
        <f>DFSVX!F17</f>
        <v>2.803226</v>
      </c>
      <c r="D17">
        <f>DFLVX!F17</f>
        <v>4.0659340000000004</v>
      </c>
      <c r="E17">
        <f>FSAGX!F17</f>
        <v>12.296314000000001</v>
      </c>
      <c r="F17" s="5">
        <f>'FRED Graph'!B27</f>
        <v>5.54</v>
      </c>
      <c r="G17" s="9">
        <f t="shared" si="0"/>
        <v>5.5399999999999998E-2</v>
      </c>
      <c r="H17" s="10">
        <f t="shared" si="8"/>
        <v>0.32427448251953039</v>
      </c>
      <c r="I17" s="10">
        <f t="shared" si="9"/>
        <v>0.29916416208813484</v>
      </c>
      <c r="J17" s="10">
        <f t="shared" si="10"/>
        <v>0.33531674549191931</v>
      </c>
      <c r="K17" s="10">
        <f t="shared" si="1"/>
        <v>0.34119860347007736</v>
      </c>
      <c r="L17" s="10">
        <f t="shared" si="17"/>
        <v>0.25377448251953039</v>
      </c>
      <c r="M17" s="10">
        <f t="shared" si="11"/>
        <v>0.22866416208813484</v>
      </c>
      <c r="N17" s="10">
        <f t="shared" si="12"/>
        <v>0.2648167454919193</v>
      </c>
      <c r="O17" s="10">
        <f t="shared" si="13"/>
        <v>0.27069860347007735</v>
      </c>
      <c r="Y17" s="7">
        <f t="shared" si="3"/>
        <v>0.32427448251953039</v>
      </c>
      <c r="Z17" s="7">
        <f t="shared" si="4"/>
        <v>0.29916416208813484</v>
      </c>
      <c r="AA17" s="7">
        <f t="shared" si="5"/>
        <v>0.33531674549191931</v>
      </c>
      <c r="AB17" s="7">
        <f t="shared" si="6"/>
        <v>0.34119860347007736</v>
      </c>
      <c r="AC17" s="7">
        <f t="shared" si="18"/>
        <v>0.27337448251953039</v>
      </c>
      <c r="AD17" s="7">
        <f t="shared" si="14"/>
        <v>0.24826416208813484</v>
      </c>
      <c r="AE17" s="7">
        <f t="shared" si="15"/>
        <v>0.28441674549191931</v>
      </c>
      <c r="AF17" s="7">
        <f t="shared" si="16"/>
        <v>0.29029860347007735</v>
      </c>
    </row>
    <row r="18" spans="1:32" x14ac:dyDescent="0.3">
      <c r="A18" s="1">
        <v>35186</v>
      </c>
      <c r="B18">
        <f>AEP!F18</f>
        <v>11.492106</v>
      </c>
      <c r="C18">
        <f>DFSVX!F18</f>
        <v>2.91256</v>
      </c>
      <c r="D18">
        <f>DFLVX!F18</f>
        <v>4.1328170000000002</v>
      </c>
      <c r="E18">
        <f>FSAGX!F18</f>
        <v>13.63757</v>
      </c>
      <c r="F18" s="5">
        <f>'FRED Graph'!B28</f>
        <v>5.64</v>
      </c>
      <c r="G18" s="9">
        <f t="shared" si="0"/>
        <v>5.6399999999999999E-2</v>
      </c>
      <c r="H18" s="10">
        <f t="shared" si="8"/>
        <v>0.25069240727227615</v>
      </c>
      <c r="I18" s="10">
        <f t="shared" si="9"/>
        <v>0.31352599487679028</v>
      </c>
      <c r="J18" s="10">
        <f t="shared" si="10"/>
        <v>0.29004473997096425</v>
      </c>
      <c r="K18" s="10">
        <f t="shared" si="1"/>
        <v>0.4572352923639767</v>
      </c>
      <c r="L18" s="10">
        <f t="shared" si="17"/>
        <v>0.18019240727227614</v>
      </c>
      <c r="M18" s="10">
        <f t="shared" si="11"/>
        <v>0.24302599487679027</v>
      </c>
      <c r="N18" s="10">
        <f t="shared" si="12"/>
        <v>0.21954473997096424</v>
      </c>
      <c r="O18" s="10">
        <f t="shared" si="13"/>
        <v>0.38673529236397669</v>
      </c>
      <c r="Y18" s="7">
        <f t="shared" si="3"/>
        <v>0.25069240727227615</v>
      </c>
      <c r="Z18" s="7">
        <f t="shared" si="4"/>
        <v>0.31352599487679028</v>
      </c>
      <c r="AA18" s="7">
        <f t="shared" si="5"/>
        <v>0.29004473997096425</v>
      </c>
      <c r="AB18" s="7">
        <f t="shared" si="6"/>
        <v>0.4572352923639767</v>
      </c>
      <c r="AC18" s="7">
        <f t="shared" si="18"/>
        <v>0.19979240727227615</v>
      </c>
      <c r="AD18" s="7">
        <f t="shared" si="14"/>
        <v>0.26262599487679028</v>
      </c>
      <c r="AE18" s="7">
        <f t="shared" si="15"/>
        <v>0.23914473997096425</v>
      </c>
      <c r="AF18" s="7">
        <f t="shared" si="16"/>
        <v>0.4063352923639767</v>
      </c>
    </row>
    <row r="19" spans="1:32" x14ac:dyDescent="0.3">
      <c r="A19" s="1">
        <v>35217</v>
      </c>
      <c r="B19">
        <f>AEP!F19</f>
        <v>12.395822000000001</v>
      </c>
      <c r="C19">
        <f>DFSVX!F19</f>
        <v>2.85162</v>
      </c>
      <c r="D19">
        <f>DFLVX!F19</f>
        <v>3.9906920000000001</v>
      </c>
      <c r="E19">
        <f>FSAGX!F19</f>
        <v>11.712217000000001</v>
      </c>
      <c r="F19" s="5">
        <f>'FRED Graph'!B29</f>
        <v>5.81</v>
      </c>
      <c r="G19" s="9">
        <f t="shared" si="0"/>
        <v>5.8099999999999999E-2</v>
      </c>
      <c r="H19" s="10">
        <f t="shared" si="8"/>
        <v>0.29124625386332559</v>
      </c>
      <c r="I19" s="10">
        <f t="shared" si="9"/>
        <v>0.23710723010267371</v>
      </c>
      <c r="J19" s="10">
        <f t="shared" si="10"/>
        <v>0.2251078383788894</v>
      </c>
      <c r="K19" s="10">
        <f t="shared" si="1"/>
        <v>0.23438219799220594</v>
      </c>
      <c r="L19" s="10">
        <f t="shared" si="17"/>
        <v>0.22074625386332558</v>
      </c>
      <c r="M19" s="10">
        <f t="shared" si="11"/>
        <v>0.1666072301026737</v>
      </c>
      <c r="N19" s="10">
        <f t="shared" si="12"/>
        <v>0.15460783837888942</v>
      </c>
      <c r="O19" s="10">
        <f t="shared" si="13"/>
        <v>0.16388219799220594</v>
      </c>
      <c r="Y19" s="7">
        <f t="shared" si="3"/>
        <v>0.29124625386332559</v>
      </c>
      <c r="Z19" s="7">
        <f t="shared" si="4"/>
        <v>0.23710723010267371</v>
      </c>
      <c r="AA19" s="7">
        <f t="shared" si="5"/>
        <v>0.2251078383788894</v>
      </c>
      <c r="AB19" s="7">
        <f t="shared" si="6"/>
        <v>0.23438219799220594</v>
      </c>
      <c r="AC19" s="7">
        <f t="shared" si="18"/>
        <v>0.24034625386332559</v>
      </c>
      <c r="AD19" s="7">
        <f t="shared" si="14"/>
        <v>0.1862072301026737</v>
      </c>
      <c r="AE19" s="7">
        <f t="shared" si="15"/>
        <v>0.1742078383788894</v>
      </c>
      <c r="AF19" s="7">
        <f t="shared" si="16"/>
        <v>0.18348219799220594</v>
      </c>
    </row>
    <row r="20" spans="1:32" x14ac:dyDescent="0.3">
      <c r="A20" s="1">
        <v>35247</v>
      </c>
      <c r="B20">
        <f>AEP!F20</f>
        <v>12.068673</v>
      </c>
      <c r="C20">
        <f>DFSVX!F20</f>
        <v>2.6741779999999999</v>
      </c>
      <c r="D20">
        <f>DFLVX!F20</f>
        <v>3.8325209999999998</v>
      </c>
      <c r="E20">
        <f>FSAGX!F20</f>
        <v>11.495884</v>
      </c>
      <c r="F20" s="5">
        <f>'FRED Graph'!B30</f>
        <v>5.85</v>
      </c>
      <c r="G20" s="9">
        <f t="shared" si="0"/>
        <v>5.8499999999999996E-2</v>
      </c>
      <c r="H20" s="10">
        <f t="shared" si="8"/>
        <v>0.27994295514372519</v>
      </c>
      <c r="I20" s="10">
        <f t="shared" si="9"/>
        <v>0.10065553380092306</v>
      </c>
      <c r="J20" s="10">
        <f t="shared" si="10"/>
        <v>0.1215676049153803</v>
      </c>
      <c r="K20" s="10">
        <f t="shared" si="1"/>
        <v>0.17984021091190791</v>
      </c>
      <c r="L20" s="10">
        <f t="shared" si="17"/>
        <v>0.20944295514372518</v>
      </c>
      <c r="M20" s="10">
        <f t="shared" si="11"/>
        <v>3.0155533800923062E-2</v>
      </c>
      <c r="N20" s="10">
        <f t="shared" si="12"/>
        <v>5.1067604915380302E-2</v>
      </c>
      <c r="O20" s="10">
        <f t="shared" si="13"/>
        <v>0.10934021091190792</v>
      </c>
      <c r="Y20" s="7">
        <f t="shared" si="3"/>
        <v>0.27994295514372519</v>
      </c>
      <c r="Z20" s="7">
        <f t="shared" si="4"/>
        <v>0.10065553380092306</v>
      </c>
      <c r="AA20" s="7">
        <f t="shared" si="5"/>
        <v>0.1215676049153803</v>
      </c>
      <c r="AB20" s="7">
        <f t="shared" si="6"/>
        <v>0.17984021091190791</v>
      </c>
      <c r="AC20" s="7">
        <f t="shared" si="18"/>
        <v>0.22904295514372519</v>
      </c>
      <c r="AD20" s="7">
        <f t="shared" si="14"/>
        <v>4.9755533800923055E-2</v>
      </c>
      <c r="AE20" s="7">
        <f t="shared" si="15"/>
        <v>7.0667604915380294E-2</v>
      </c>
      <c r="AF20" s="7">
        <f t="shared" si="16"/>
        <v>0.12894021091190791</v>
      </c>
    </row>
    <row r="21" spans="1:32" x14ac:dyDescent="0.3">
      <c r="A21" s="1">
        <v>35278</v>
      </c>
      <c r="B21">
        <f>AEP!F21</f>
        <v>12.068673</v>
      </c>
      <c r="C21">
        <f>DFSVX!F21</f>
        <v>2.7960569999999998</v>
      </c>
      <c r="D21">
        <f>DFLVX!F21</f>
        <v>3.9866039999999998</v>
      </c>
      <c r="E21">
        <f>FSAGX!F21</f>
        <v>12.668402</v>
      </c>
      <c r="F21" s="5">
        <f>'FRED Graph'!B31</f>
        <v>5.67</v>
      </c>
      <c r="G21" s="9">
        <f t="shared" si="0"/>
        <v>5.67E-2</v>
      </c>
      <c r="H21" s="10">
        <f t="shared" si="8"/>
        <v>0.29400702722002375</v>
      </c>
      <c r="I21" s="10">
        <f t="shared" si="9"/>
        <v>0.1153844926420429</v>
      </c>
      <c r="J21" s="10">
        <f t="shared" si="10"/>
        <v>0.13347955070287254</v>
      </c>
      <c r="K21" s="10">
        <f t="shared" si="1"/>
        <v>0.29729723640832939</v>
      </c>
      <c r="L21" s="10">
        <f t="shared" si="17"/>
        <v>0.22350702722002375</v>
      </c>
      <c r="M21" s="10">
        <f t="shared" si="11"/>
        <v>4.4884492642042903E-2</v>
      </c>
      <c r="N21" s="10">
        <f t="shared" si="12"/>
        <v>6.2979550702872547E-2</v>
      </c>
      <c r="O21" s="10">
        <f t="shared" si="13"/>
        <v>0.22679723640832938</v>
      </c>
      <c r="Y21" s="7">
        <f t="shared" si="3"/>
        <v>0.29400702722002375</v>
      </c>
      <c r="Z21" s="7">
        <f t="shared" si="4"/>
        <v>0.1153844926420429</v>
      </c>
      <c r="AA21" s="7">
        <f t="shared" si="5"/>
        <v>0.13347955070287254</v>
      </c>
      <c r="AB21" s="7">
        <f t="shared" si="6"/>
        <v>0.29729723640832939</v>
      </c>
      <c r="AC21" s="7">
        <f t="shared" si="18"/>
        <v>0.24310702722002375</v>
      </c>
      <c r="AD21" s="7">
        <f t="shared" si="14"/>
        <v>6.4484492642042895E-2</v>
      </c>
      <c r="AE21" s="7">
        <f t="shared" si="15"/>
        <v>8.257955070287254E-2</v>
      </c>
      <c r="AF21" s="7">
        <f t="shared" si="16"/>
        <v>0.24639723640832939</v>
      </c>
    </row>
    <row r="22" spans="1:32" x14ac:dyDescent="0.3">
      <c r="A22" s="1">
        <v>35309</v>
      </c>
      <c r="B22">
        <f>AEP!F22</f>
        <v>11.982875</v>
      </c>
      <c r="C22">
        <f>DFSVX!F22</f>
        <v>2.889259</v>
      </c>
      <c r="D22">
        <f>DFLVX!F22</f>
        <v>4.045439</v>
      </c>
      <c r="E22">
        <f>FSAGX!F22</f>
        <v>12.434767000000001</v>
      </c>
      <c r="F22" s="5">
        <f>'FRED Graph'!B32</f>
        <v>5.83</v>
      </c>
      <c r="G22" s="9">
        <f t="shared" si="0"/>
        <v>5.8299999999999998E-2</v>
      </c>
      <c r="H22" s="10">
        <f t="shared" si="8"/>
        <v>0.18474667482937265</v>
      </c>
      <c r="I22" s="10">
        <f t="shared" si="9"/>
        <v>0.13822725867037511</v>
      </c>
      <c r="J22" s="10">
        <f t="shared" si="10"/>
        <v>0.11923776144645711</v>
      </c>
      <c r="K22" s="10">
        <f t="shared" si="1"/>
        <v>0.27393613070430062</v>
      </c>
      <c r="L22" s="10">
        <f t="shared" si="17"/>
        <v>0.11424667482937266</v>
      </c>
      <c r="M22" s="10">
        <f t="shared" si="11"/>
        <v>6.7727258670375115E-2</v>
      </c>
      <c r="N22" s="10">
        <f t="shared" si="12"/>
        <v>4.8737761446457112E-2</v>
      </c>
      <c r="O22" s="10">
        <f t="shared" si="13"/>
        <v>0.20343613070430061</v>
      </c>
      <c r="Y22" s="7">
        <f t="shared" si="3"/>
        <v>0.18474667482937265</v>
      </c>
      <c r="Z22" s="7">
        <f t="shared" si="4"/>
        <v>0.13822725867037511</v>
      </c>
      <c r="AA22" s="7">
        <f t="shared" si="5"/>
        <v>0.11923776144645711</v>
      </c>
      <c r="AB22" s="7">
        <f t="shared" si="6"/>
        <v>0.27393613070430062</v>
      </c>
      <c r="AC22" s="7">
        <f t="shared" si="18"/>
        <v>0.13384667482937265</v>
      </c>
      <c r="AD22" s="7">
        <f t="shared" si="14"/>
        <v>8.7327258670375107E-2</v>
      </c>
      <c r="AE22" s="7">
        <f t="shared" si="15"/>
        <v>6.8337761446457104E-2</v>
      </c>
      <c r="AF22" s="7">
        <f t="shared" si="16"/>
        <v>0.22303613070430062</v>
      </c>
    </row>
    <row r="23" spans="1:32" x14ac:dyDescent="0.3">
      <c r="A23" s="1">
        <v>35339</v>
      </c>
      <c r="B23">
        <f>AEP!F23</f>
        <v>12.277839999999999</v>
      </c>
      <c r="C23">
        <f>DFSVX!F23</f>
        <v>2.9107669999999999</v>
      </c>
      <c r="D23">
        <f>DFLVX!F23</f>
        <v>4.19625</v>
      </c>
      <c r="E23">
        <f>FSAGX!F23</f>
        <v>12.092961000000001</v>
      </c>
      <c r="F23" s="5">
        <f>'FRED Graph'!B33</f>
        <v>5.55</v>
      </c>
      <c r="G23" s="9">
        <f t="shared" si="0"/>
        <v>5.5500000000000001E-2</v>
      </c>
      <c r="H23" s="10">
        <f t="shared" si="8"/>
        <v>0.15818922047416198</v>
      </c>
      <c r="I23" s="10">
        <f t="shared" si="9"/>
        <v>0.20586875485223916</v>
      </c>
      <c r="J23" s="10">
        <f t="shared" si="10"/>
        <v>0.20256340521822958</v>
      </c>
      <c r="K23" s="10">
        <f t="shared" si="1"/>
        <v>0.40876988584768265</v>
      </c>
      <c r="L23" s="10">
        <f t="shared" si="17"/>
        <v>8.7689220474161986E-2</v>
      </c>
      <c r="M23" s="10">
        <f t="shared" si="11"/>
        <v>0.13536875485223915</v>
      </c>
      <c r="N23" s="10">
        <f t="shared" si="12"/>
        <v>0.13206340521822957</v>
      </c>
      <c r="O23" s="10">
        <f t="shared" si="13"/>
        <v>0.33826988584768264</v>
      </c>
      <c r="Y23" s="7">
        <f t="shared" si="3"/>
        <v>0.15818922047416198</v>
      </c>
      <c r="Z23" s="7">
        <f t="shared" si="4"/>
        <v>0.20586875485223916</v>
      </c>
      <c r="AA23" s="7">
        <f t="shared" si="5"/>
        <v>0.20256340521822958</v>
      </c>
      <c r="AB23" s="7">
        <f t="shared" si="6"/>
        <v>0.40876988584768265</v>
      </c>
      <c r="AC23" s="7">
        <f t="shared" si="18"/>
        <v>0.10728922047416198</v>
      </c>
      <c r="AD23" s="7">
        <f t="shared" si="14"/>
        <v>0.15496875485223915</v>
      </c>
      <c r="AE23" s="7">
        <f t="shared" si="15"/>
        <v>0.15166340521822957</v>
      </c>
      <c r="AF23" s="7">
        <f t="shared" si="16"/>
        <v>0.35786988584768264</v>
      </c>
    </row>
    <row r="24" spans="1:32" x14ac:dyDescent="0.3">
      <c r="A24" s="1">
        <v>35370</v>
      </c>
      <c r="B24">
        <f>AEP!F24</f>
        <v>12.240973</v>
      </c>
      <c r="C24">
        <f>DFSVX!F24</f>
        <v>3.048778</v>
      </c>
      <c r="D24">
        <f>DFLVX!F24</f>
        <v>4.5002040000000001</v>
      </c>
      <c r="E24">
        <f>FSAGX!F24</f>
        <v>11.573764000000001</v>
      </c>
      <c r="F24" s="5">
        <f>'FRED Graph'!B34</f>
        <v>5.42</v>
      </c>
      <c r="G24" s="9">
        <f t="shared" si="0"/>
        <v>5.4199999999999998E-2</v>
      </c>
      <c r="H24" s="10">
        <f t="shared" si="8"/>
        <v>0.16618235203332124</v>
      </c>
      <c r="I24" s="10">
        <f t="shared" si="9"/>
        <v>0.23873739536599656</v>
      </c>
      <c r="J24" s="10">
        <f t="shared" si="10"/>
        <v>0.2440613277845185</v>
      </c>
      <c r="K24" s="10">
        <f t="shared" si="1"/>
        <v>0.23385610709927349</v>
      </c>
      <c r="L24" s="10">
        <f t="shared" si="17"/>
        <v>9.5682352033321247E-2</v>
      </c>
      <c r="M24" s="10">
        <f t="shared" si="11"/>
        <v>0.16823739536599658</v>
      </c>
      <c r="N24" s="10">
        <f t="shared" si="12"/>
        <v>0.17356132778451849</v>
      </c>
      <c r="O24" s="10">
        <f t="shared" si="13"/>
        <v>0.16335610709927351</v>
      </c>
      <c r="Y24" s="7">
        <f t="shared" si="3"/>
        <v>0.16618235203332124</v>
      </c>
      <c r="Z24" s="7">
        <f t="shared" si="4"/>
        <v>0.23873739536599656</v>
      </c>
      <c r="AA24" s="7">
        <f t="shared" si="5"/>
        <v>0.2440613277845185</v>
      </c>
      <c r="AB24" s="7">
        <f t="shared" si="6"/>
        <v>0.23385610709927349</v>
      </c>
      <c r="AC24" s="7">
        <f t="shared" si="18"/>
        <v>0.11528235203332124</v>
      </c>
      <c r="AD24" s="7">
        <f t="shared" si="14"/>
        <v>0.18783739536599656</v>
      </c>
      <c r="AE24" s="7">
        <f t="shared" si="15"/>
        <v>0.1931613277845185</v>
      </c>
      <c r="AF24" s="7">
        <f t="shared" si="16"/>
        <v>0.18295610709927349</v>
      </c>
    </row>
    <row r="25" spans="1:32" x14ac:dyDescent="0.3">
      <c r="A25" s="1">
        <v>35400</v>
      </c>
      <c r="B25">
        <f>AEP!F25</f>
        <v>12.304587</v>
      </c>
      <c r="C25">
        <f>DFSVX!F25</f>
        <v>3.030853</v>
      </c>
      <c r="D25">
        <f>DFLVX!F25</f>
        <v>4.3285280000000004</v>
      </c>
      <c r="E25">
        <f>FSAGX!F25</f>
        <v>11.266572</v>
      </c>
      <c r="F25" s="5">
        <f>'FRED Graph'!B35</f>
        <v>5.47</v>
      </c>
      <c r="G25" s="9">
        <f t="shared" si="0"/>
        <v>5.4699999999999999E-2</v>
      </c>
      <c r="H25" s="10">
        <f t="shared" si="8"/>
        <v>7.5450192180353759E-2</v>
      </c>
      <c r="I25" s="10">
        <f t="shared" si="9"/>
        <v>0.19523311133755872</v>
      </c>
      <c r="J25" s="10">
        <f t="shared" si="10"/>
        <v>0.17152396459441216</v>
      </c>
      <c r="K25" s="10">
        <f t="shared" si="1"/>
        <v>0.17615166136819804</v>
      </c>
      <c r="L25" s="10">
        <f t="shared" si="17"/>
        <v>4.9501921803537657E-3</v>
      </c>
      <c r="M25" s="10">
        <f t="shared" si="11"/>
        <v>0.12473311133755872</v>
      </c>
      <c r="N25" s="10">
        <f t="shared" si="12"/>
        <v>0.10102396459441217</v>
      </c>
      <c r="O25" s="10">
        <f t="shared" si="13"/>
        <v>0.10565166136819805</v>
      </c>
      <c r="Y25" s="7">
        <f t="shared" si="3"/>
        <v>7.5450192180353759E-2</v>
      </c>
      <c r="Z25" s="7">
        <f t="shared" si="4"/>
        <v>0.19523311133755872</v>
      </c>
      <c r="AA25" s="7">
        <f t="shared" si="5"/>
        <v>0.17152396459441216</v>
      </c>
      <c r="AB25" s="7">
        <f t="shared" si="6"/>
        <v>0.17615166136819804</v>
      </c>
      <c r="AC25" s="7">
        <f t="shared" si="18"/>
        <v>2.4550192180353758E-2</v>
      </c>
      <c r="AD25" s="7">
        <f t="shared" si="14"/>
        <v>0.14433311133755872</v>
      </c>
      <c r="AE25" s="7">
        <f t="shared" si="15"/>
        <v>0.12062396459441216</v>
      </c>
      <c r="AF25" s="7">
        <f t="shared" si="16"/>
        <v>0.12525166136819804</v>
      </c>
    </row>
    <row r="26" spans="1:32" x14ac:dyDescent="0.3">
      <c r="A26" s="1">
        <v>35431</v>
      </c>
      <c r="B26">
        <f>AEP!F26</f>
        <v>12.379379</v>
      </c>
      <c r="C26">
        <f>DFSVX!F26</f>
        <v>3.1949580000000002</v>
      </c>
      <c r="D26">
        <f>DFLVX!F26</f>
        <v>4.6139469999999996</v>
      </c>
      <c r="E26">
        <f>FSAGX!F26</f>
        <v>10.996578</v>
      </c>
      <c r="F26" s="5">
        <f>'FRED Graph'!B36</f>
        <v>5.61</v>
      </c>
      <c r="G26" s="9">
        <f t="shared" si="0"/>
        <v>5.6100000000000004E-2</v>
      </c>
      <c r="H26" s="10">
        <f t="shared" si="8"/>
        <v>-9.7068793306498251E-3</v>
      </c>
      <c r="I26" s="10">
        <f t="shared" si="9"/>
        <v>0.2588685400873143</v>
      </c>
      <c r="J26" s="10">
        <f t="shared" si="10"/>
        <v>0.21080091963144404</v>
      </c>
      <c r="K26" s="10">
        <f t="shared" si="1"/>
        <v>-2.5087430326361376E-2</v>
      </c>
      <c r="L26" s="10">
        <f t="shared" si="17"/>
        <v>-8.0206879330649822E-2</v>
      </c>
      <c r="M26" s="10">
        <f t="shared" si="11"/>
        <v>0.1883685400873143</v>
      </c>
      <c r="N26" s="10">
        <f t="shared" si="12"/>
        <v>0.14030091963144403</v>
      </c>
      <c r="O26" s="10">
        <f t="shared" si="13"/>
        <v>-9.5587430326361369E-2</v>
      </c>
      <c r="Y26" s="7">
        <f t="shared" si="3"/>
        <v>-9.7068793306498251E-3</v>
      </c>
      <c r="Z26" s="7">
        <f t="shared" si="4"/>
        <v>0.2588685400873143</v>
      </c>
      <c r="AA26" s="7">
        <f t="shared" si="5"/>
        <v>0.21080091963144404</v>
      </c>
      <c r="AB26" s="7">
        <f t="shared" si="6"/>
        <v>-2.5087430326361376E-2</v>
      </c>
      <c r="AC26" s="7">
        <f t="shared" si="18"/>
        <v>-6.0606879330649829E-2</v>
      </c>
      <c r="AD26" s="7">
        <f t="shared" si="14"/>
        <v>0.2079685400873143</v>
      </c>
      <c r="AE26" s="7">
        <f t="shared" si="15"/>
        <v>0.15990091963144404</v>
      </c>
      <c r="AF26" s="7">
        <f t="shared" si="16"/>
        <v>-7.5987430326361377E-2</v>
      </c>
    </row>
    <row r="27" spans="1:32" x14ac:dyDescent="0.3">
      <c r="A27" s="1">
        <v>35462</v>
      </c>
      <c r="B27">
        <f>AEP!F27</f>
        <v>12.491587000000001</v>
      </c>
      <c r="C27">
        <f>DFSVX!F27</f>
        <v>3.1949580000000002</v>
      </c>
      <c r="D27">
        <f>DFLVX!F27</f>
        <v>4.7037360000000001</v>
      </c>
      <c r="E27">
        <f>FSAGX!F27</f>
        <v>12.434555</v>
      </c>
      <c r="F27" s="5">
        <f>'FRED Graph'!B37</f>
        <v>5.53</v>
      </c>
      <c r="G27" s="9">
        <f t="shared" si="0"/>
        <v>5.5300000000000002E-2</v>
      </c>
      <c r="H27" s="10">
        <f t="shared" si="8"/>
        <v>3.1316415067889118E-2</v>
      </c>
      <c r="I27" s="10">
        <f t="shared" si="9"/>
        <v>0.23189979953892806</v>
      </c>
      <c r="J27" s="10">
        <f t="shared" si="10"/>
        <v>0.21662839486566418</v>
      </c>
      <c r="K27" s="10">
        <f t="shared" si="1"/>
        <v>6.0107293347343466E-2</v>
      </c>
      <c r="L27" s="10">
        <f t="shared" si="17"/>
        <v>-3.9183584932110875E-2</v>
      </c>
      <c r="M27" s="10">
        <f t="shared" si="11"/>
        <v>0.16139979953892808</v>
      </c>
      <c r="N27" s="10">
        <f t="shared" si="12"/>
        <v>0.1461283948656642</v>
      </c>
      <c r="O27" s="10">
        <f t="shared" si="13"/>
        <v>-1.0392706652656528E-2</v>
      </c>
      <c r="Y27" s="7">
        <f t="shared" si="3"/>
        <v>3.1316415067889118E-2</v>
      </c>
      <c r="Z27" s="7">
        <f t="shared" si="4"/>
        <v>0.23189979953892806</v>
      </c>
      <c r="AA27" s="7">
        <f t="shared" si="5"/>
        <v>0.21662839486566418</v>
      </c>
      <c r="AB27" s="7">
        <f t="shared" si="6"/>
        <v>6.0107293347343466E-2</v>
      </c>
      <c r="AC27" s="7">
        <f t="shared" si="18"/>
        <v>-1.9583584932110883E-2</v>
      </c>
      <c r="AD27" s="7">
        <f t="shared" si="14"/>
        <v>0.18099979953892806</v>
      </c>
      <c r="AE27" s="7">
        <f t="shared" si="15"/>
        <v>0.16572839486566418</v>
      </c>
      <c r="AF27" s="7">
        <f t="shared" si="16"/>
        <v>9.2072933473434648E-3</v>
      </c>
    </row>
    <row r="28" spans="1:32" x14ac:dyDescent="0.3">
      <c r="A28" s="1">
        <v>35490</v>
      </c>
      <c r="B28">
        <f>AEP!F28</f>
        <v>12.524715</v>
      </c>
      <c r="C28">
        <f>DFSVX!F28</f>
        <v>3.110201</v>
      </c>
      <c r="D28">
        <f>DFLVX!F28</f>
        <v>4.4749189999999999</v>
      </c>
      <c r="E28">
        <f>FSAGX!F28</f>
        <v>10.467257</v>
      </c>
      <c r="F28" s="5">
        <f>'FRED Graph'!B38</f>
        <v>5.8</v>
      </c>
      <c r="G28" s="9">
        <f t="shared" si="0"/>
        <v>5.7999999999999996E-2</v>
      </c>
      <c r="H28" s="10">
        <f t="shared" si="8"/>
        <v>4.7433904162258386E-2</v>
      </c>
      <c r="I28" s="10">
        <f t="shared" si="9"/>
        <v>0.16696020134953413</v>
      </c>
      <c r="J28" s="10">
        <f t="shared" si="10"/>
        <v>0.12276074175307898</v>
      </c>
      <c r="K28" s="10">
        <f t="shared" si="1"/>
        <v>-0.12850958399447698</v>
      </c>
      <c r="L28" s="10">
        <f t="shared" si="17"/>
        <v>-2.3066095837741607E-2</v>
      </c>
      <c r="M28" s="10">
        <f t="shared" si="11"/>
        <v>9.6460201349534133E-2</v>
      </c>
      <c r="N28" s="10">
        <f t="shared" si="12"/>
        <v>5.2260741753078988E-2</v>
      </c>
      <c r="O28" s="10">
        <f t="shared" si="13"/>
        <v>-0.19900958399447699</v>
      </c>
      <c r="Y28" s="7">
        <f t="shared" si="3"/>
        <v>4.7433904162258386E-2</v>
      </c>
      <c r="Z28" s="7">
        <f t="shared" si="4"/>
        <v>0.16696020134953413</v>
      </c>
      <c r="AA28" s="7">
        <f t="shared" si="5"/>
        <v>0.12276074175307898</v>
      </c>
      <c r="AB28" s="7">
        <f t="shared" si="6"/>
        <v>-0.12850958399447698</v>
      </c>
      <c r="AC28" s="7">
        <f t="shared" si="18"/>
        <v>-3.4660958377416146E-3</v>
      </c>
      <c r="AD28" s="7">
        <f t="shared" si="14"/>
        <v>0.11606020134953413</v>
      </c>
      <c r="AE28" s="7">
        <f t="shared" si="15"/>
        <v>7.186074175307898E-2</v>
      </c>
      <c r="AF28" s="7">
        <f t="shared" si="16"/>
        <v>-0.17940958399447698</v>
      </c>
    </row>
    <row r="29" spans="1:32" x14ac:dyDescent="0.3">
      <c r="A29" s="1">
        <v>35521</v>
      </c>
      <c r="B29">
        <f>AEP!F29</f>
        <v>12.296994</v>
      </c>
      <c r="C29">
        <f>DFSVX!F29</f>
        <v>3.097305</v>
      </c>
      <c r="D29">
        <f>DFLVX!F29</f>
        <v>4.6367479999999999</v>
      </c>
      <c r="E29">
        <f>FSAGX!F29</f>
        <v>9.3027569999999997</v>
      </c>
      <c r="F29" s="5">
        <f>'FRED Graph'!B39</f>
        <v>5.99</v>
      </c>
      <c r="G29" s="9">
        <f t="shared" si="0"/>
        <v>5.9900000000000002E-2</v>
      </c>
      <c r="H29" s="10">
        <f t="shared" si="8"/>
        <v>5.6868618025647723E-2</v>
      </c>
      <c r="I29" s="10">
        <f t="shared" si="9"/>
        <v>0.10490734603631673</v>
      </c>
      <c r="J29" s="10">
        <f t="shared" si="10"/>
        <v>0.14038939146577378</v>
      </c>
      <c r="K29" s="10">
        <f t="shared" si="1"/>
        <v>-0.24345157418719143</v>
      </c>
      <c r="L29" s="10">
        <f t="shared" si="17"/>
        <v>-1.363138197435227E-2</v>
      </c>
      <c r="M29" s="10">
        <f t="shared" si="11"/>
        <v>3.4407346036316733E-2</v>
      </c>
      <c r="N29" s="10">
        <f t="shared" si="12"/>
        <v>6.988939146577379E-2</v>
      </c>
      <c r="O29" s="10">
        <f t="shared" si="13"/>
        <v>-0.31395157418719144</v>
      </c>
      <c r="Y29" s="7">
        <f t="shared" si="3"/>
        <v>5.6868618025647723E-2</v>
      </c>
      <c r="Z29" s="7">
        <f t="shared" si="4"/>
        <v>0.10490734603631673</v>
      </c>
      <c r="AA29" s="7">
        <f t="shared" si="5"/>
        <v>0.14038939146577378</v>
      </c>
      <c r="AB29" s="7">
        <f t="shared" si="6"/>
        <v>-0.24345157418719143</v>
      </c>
      <c r="AC29" s="7">
        <f t="shared" si="18"/>
        <v>5.968618025647722E-3</v>
      </c>
      <c r="AD29" s="7">
        <f t="shared" si="14"/>
        <v>5.4007346036316725E-2</v>
      </c>
      <c r="AE29" s="7">
        <f t="shared" si="15"/>
        <v>8.9489391465773782E-2</v>
      </c>
      <c r="AF29" s="7">
        <f t="shared" si="16"/>
        <v>-0.29435157418719143</v>
      </c>
    </row>
    <row r="30" spans="1:32" x14ac:dyDescent="0.3">
      <c r="A30" s="1">
        <v>35551</v>
      </c>
      <c r="B30">
        <f>AEP!F30</f>
        <v>12.334947</v>
      </c>
      <c r="C30">
        <f>DFSVX!F30</f>
        <v>3.390269</v>
      </c>
      <c r="D30">
        <f>DFLVX!F30</f>
        <v>4.9940910000000001</v>
      </c>
      <c r="E30">
        <f>FSAGX!F30</f>
        <v>10.398695999999999</v>
      </c>
      <c r="F30" s="5">
        <f>'FRED Graph'!B40</f>
        <v>5.87</v>
      </c>
      <c r="G30" s="9">
        <f t="shared" si="0"/>
        <v>5.8700000000000002E-2</v>
      </c>
      <c r="H30" s="10">
        <f t="shared" si="8"/>
        <v>7.3340865460168922E-2</v>
      </c>
      <c r="I30" s="10">
        <f t="shared" si="9"/>
        <v>0.16401687862224296</v>
      </c>
      <c r="J30" s="10">
        <f t="shared" si="10"/>
        <v>0.20839877497600301</v>
      </c>
      <c r="K30" s="10">
        <f t="shared" si="10"/>
        <v>-0.23749641615038464</v>
      </c>
      <c r="L30" s="10">
        <f t="shared" si="17"/>
        <v>2.8408654601689287E-3</v>
      </c>
      <c r="M30" s="10">
        <f t="shared" si="11"/>
        <v>9.3516878622242963E-2</v>
      </c>
      <c r="N30" s="10">
        <f t="shared" si="12"/>
        <v>0.137898774976003</v>
      </c>
      <c r="O30" s="10">
        <f t="shared" si="13"/>
        <v>-0.30799641615038464</v>
      </c>
      <c r="Y30" s="7">
        <f t="shared" si="3"/>
        <v>7.3340865460168922E-2</v>
      </c>
      <c r="Z30" s="7">
        <f t="shared" si="4"/>
        <v>0.16401687862224296</v>
      </c>
      <c r="AA30" s="7">
        <f t="shared" si="5"/>
        <v>0.20839877497600301</v>
      </c>
      <c r="AB30" s="7">
        <f t="shared" si="6"/>
        <v>-0.23749641615038464</v>
      </c>
      <c r="AC30" s="7">
        <f t="shared" si="18"/>
        <v>2.2440865460168921E-2</v>
      </c>
      <c r="AD30" s="7">
        <f t="shared" si="14"/>
        <v>0.11311687862224296</v>
      </c>
      <c r="AE30" s="7">
        <f t="shared" si="15"/>
        <v>0.15749877497600301</v>
      </c>
      <c r="AF30" s="7">
        <f t="shared" si="16"/>
        <v>-0.28839641615038464</v>
      </c>
    </row>
    <row r="31" spans="1:32" x14ac:dyDescent="0.3">
      <c r="A31" s="1">
        <v>35582</v>
      </c>
      <c r="B31">
        <f>AEP!F31</f>
        <v>12.916891</v>
      </c>
      <c r="C31">
        <f>DFSVX!F31</f>
        <v>3.6021589999999999</v>
      </c>
      <c r="D31">
        <f>DFLVX!F31</f>
        <v>5.1248250000000004</v>
      </c>
      <c r="E31">
        <f>FSAGX!F31</f>
        <v>9.5080460000000002</v>
      </c>
      <c r="F31" s="5">
        <f>'FRED Graph'!B41</f>
        <v>5.69</v>
      </c>
      <c r="G31" s="9">
        <f t="shared" si="0"/>
        <v>5.6900000000000006E-2</v>
      </c>
      <c r="H31" s="10">
        <f t="shared" si="8"/>
        <v>4.2035856920178333E-2</v>
      </c>
      <c r="I31" s="10">
        <f t="shared" si="9"/>
        <v>0.26319741059467944</v>
      </c>
      <c r="J31" s="10">
        <f t="shared" si="10"/>
        <v>0.28419457076617294</v>
      </c>
      <c r="K31" s="10">
        <f t="shared" si="10"/>
        <v>-0.18819417365644783</v>
      </c>
      <c r="L31" s="10">
        <f t="shared" si="17"/>
        <v>-2.846414307982166E-2</v>
      </c>
      <c r="M31" s="10">
        <f t="shared" si="11"/>
        <v>0.19269741059467943</v>
      </c>
      <c r="N31" s="10">
        <f t="shared" si="12"/>
        <v>0.21369457076617293</v>
      </c>
      <c r="O31" s="10">
        <f t="shared" si="13"/>
        <v>-0.25869417365644781</v>
      </c>
      <c r="Y31" s="7">
        <f t="shared" si="3"/>
        <v>4.2035856920178333E-2</v>
      </c>
      <c r="Z31" s="7">
        <f t="shared" si="4"/>
        <v>0.26319741059467944</v>
      </c>
      <c r="AA31" s="7">
        <f t="shared" si="5"/>
        <v>0.28419457076617294</v>
      </c>
      <c r="AB31" s="7">
        <f t="shared" si="6"/>
        <v>-0.18819417365644783</v>
      </c>
      <c r="AC31" s="7">
        <f t="shared" si="18"/>
        <v>-8.864143079821668E-3</v>
      </c>
      <c r="AD31" s="7">
        <f t="shared" si="14"/>
        <v>0.21229741059467944</v>
      </c>
      <c r="AE31" s="7">
        <f t="shared" si="15"/>
        <v>0.23329457076617294</v>
      </c>
      <c r="AF31" s="7">
        <f t="shared" si="16"/>
        <v>-0.23909417365644783</v>
      </c>
    </row>
    <row r="32" spans="1:32" x14ac:dyDescent="0.3">
      <c r="A32" s="1">
        <v>35612</v>
      </c>
      <c r="B32">
        <f>AEP!F32</f>
        <v>13.783156999999999</v>
      </c>
      <c r="C32">
        <f>DFSVX!F32</f>
        <v>3.817736</v>
      </c>
      <c r="D32">
        <f>DFLVX!F32</f>
        <v>5.6639590000000002</v>
      </c>
      <c r="E32">
        <f>FSAGX!F32</f>
        <v>9.3588290000000001</v>
      </c>
      <c r="F32" s="5">
        <f>'FRED Graph'!B42</f>
        <v>5.54</v>
      </c>
      <c r="G32" s="9">
        <f t="shared" si="0"/>
        <v>5.5399999999999998E-2</v>
      </c>
      <c r="H32" s="10">
        <f t="shared" si="8"/>
        <v>0.14206068885949588</v>
      </c>
      <c r="I32" s="10">
        <f t="shared" si="9"/>
        <v>0.42762972397499349</v>
      </c>
      <c r="J32" s="10">
        <f t="shared" si="10"/>
        <v>0.47786770118154615</v>
      </c>
      <c r="K32" s="10">
        <f t="shared" si="10"/>
        <v>-0.18589740467109794</v>
      </c>
      <c r="L32" s="10">
        <f t="shared" si="17"/>
        <v>7.1560688859495888E-2</v>
      </c>
      <c r="M32" s="10">
        <f t="shared" si="11"/>
        <v>0.35712972397499348</v>
      </c>
      <c r="N32" s="10">
        <f t="shared" si="12"/>
        <v>0.40736770118154614</v>
      </c>
      <c r="O32" s="10">
        <f t="shared" si="13"/>
        <v>-0.25639740467109795</v>
      </c>
      <c r="Y32" s="7">
        <f t="shared" si="3"/>
        <v>0.14206068885949588</v>
      </c>
      <c r="Z32" s="7">
        <f t="shared" si="4"/>
        <v>0.42762972397499349</v>
      </c>
      <c r="AA32" s="7">
        <f t="shared" si="5"/>
        <v>0.47786770118154615</v>
      </c>
      <c r="AB32" s="7">
        <f t="shared" si="6"/>
        <v>-0.18589740467109794</v>
      </c>
      <c r="AC32" s="7">
        <f t="shared" si="18"/>
        <v>9.1160688859495881E-2</v>
      </c>
      <c r="AD32" s="7">
        <f t="shared" si="14"/>
        <v>0.37672972397499349</v>
      </c>
      <c r="AE32" s="7">
        <f t="shared" si="15"/>
        <v>0.42696770118154614</v>
      </c>
      <c r="AF32" s="7">
        <f t="shared" si="16"/>
        <v>-0.23679740467109794</v>
      </c>
    </row>
    <row r="33" spans="1:32" x14ac:dyDescent="0.3">
      <c r="A33" s="1">
        <v>35643</v>
      </c>
      <c r="B33">
        <f>AEP!F33</f>
        <v>13.455894000000001</v>
      </c>
      <c r="C33">
        <f>DFSVX!F33</f>
        <v>3.9522439999999999</v>
      </c>
      <c r="D33">
        <f>DFLVX!F33</f>
        <v>5.5793359999999996</v>
      </c>
      <c r="E33">
        <f>FSAGX!F33</f>
        <v>9.4474230000000006</v>
      </c>
      <c r="F33" s="5">
        <f>'FRED Graph'!B43</f>
        <v>5.56</v>
      </c>
      <c r="G33" s="9">
        <f t="shared" si="0"/>
        <v>5.5599999999999997E-2</v>
      </c>
      <c r="H33" s="10">
        <f t="shared" si="8"/>
        <v>0.11494395448447399</v>
      </c>
      <c r="I33" s="10">
        <f t="shared" si="9"/>
        <v>0.41350623395731922</v>
      </c>
      <c r="J33" s="10">
        <f t="shared" si="10"/>
        <v>0.39952099581498435</v>
      </c>
      <c r="K33" s="10">
        <f t="shared" si="10"/>
        <v>-0.25425298313078476</v>
      </c>
      <c r="L33" s="10">
        <f t="shared" si="17"/>
        <v>4.4443954484473996E-2</v>
      </c>
      <c r="M33" s="10">
        <f t="shared" si="11"/>
        <v>0.34300623395731922</v>
      </c>
      <c r="N33" s="10">
        <f t="shared" si="12"/>
        <v>0.32902099581498434</v>
      </c>
      <c r="O33" s="10">
        <f t="shared" si="13"/>
        <v>-0.32475298313078477</v>
      </c>
      <c r="Y33" s="7">
        <f t="shared" si="3"/>
        <v>0.11494395448447399</v>
      </c>
      <c r="Z33" s="7">
        <f t="shared" si="4"/>
        <v>0.41350623395731922</v>
      </c>
      <c r="AA33" s="7">
        <f t="shared" si="5"/>
        <v>0.39952099581498435</v>
      </c>
      <c r="AB33" s="7">
        <f t="shared" si="6"/>
        <v>-0.25425298313078476</v>
      </c>
      <c r="AC33" s="7">
        <f t="shared" si="18"/>
        <v>6.4043954484473989E-2</v>
      </c>
      <c r="AD33" s="7">
        <f t="shared" si="14"/>
        <v>0.36260623395731922</v>
      </c>
      <c r="AE33" s="7">
        <f t="shared" si="15"/>
        <v>0.34862099581498435</v>
      </c>
      <c r="AF33" s="7">
        <f t="shared" si="16"/>
        <v>-0.30515298313078476</v>
      </c>
    </row>
    <row r="34" spans="1:32" x14ac:dyDescent="0.3">
      <c r="A34" s="1">
        <v>35674</v>
      </c>
      <c r="B34">
        <f>AEP!F34</f>
        <v>14.206524999999999</v>
      </c>
      <c r="C34">
        <f>DFSVX!F34</f>
        <v>4.2562620000000004</v>
      </c>
      <c r="D34">
        <f>DFLVX!F34</f>
        <v>5.8536330000000003</v>
      </c>
      <c r="E34">
        <f>FSAGX!F34</f>
        <v>10.254139</v>
      </c>
      <c r="F34" s="5">
        <f>'FRED Graph'!B44</f>
        <v>5.52</v>
      </c>
      <c r="G34" s="9">
        <f t="shared" si="0"/>
        <v>5.5199999999999999E-2</v>
      </c>
      <c r="H34" s="10">
        <f t="shared" si="8"/>
        <v>0.18556898907816358</v>
      </c>
      <c r="I34" s="10">
        <f t="shared" si="9"/>
        <v>0.47313273057209493</v>
      </c>
      <c r="J34" s="10">
        <f t="shared" si="10"/>
        <v>0.44697102094482211</v>
      </c>
      <c r="K34" s="10">
        <f t="shared" si="10"/>
        <v>-0.17536540893769867</v>
      </c>
      <c r="L34" s="10">
        <f t="shared" si="17"/>
        <v>0.11506898907816358</v>
      </c>
      <c r="M34" s="10">
        <f t="shared" si="11"/>
        <v>0.40263273057209492</v>
      </c>
      <c r="N34" s="10">
        <f t="shared" si="12"/>
        <v>0.3764710209448221</v>
      </c>
      <c r="O34" s="10">
        <f t="shared" si="13"/>
        <v>-0.24586540893769865</v>
      </c>
      <c r="Y34" s="7">
        <f t="shared" si="3"/>
        <v>0.18556898907816358</v>
      </c>
      <c r="Z34" s="7">
        <f t="shared" si="4"/>
        <v>0.47313273057209493</v>
      </c>
      <c r="AA34" s="7">
        <f t="shared" si="5"/>
        <v>0.44697102094482211</v>
      </c>
      <c r="AB34" s="7">
        <f t="shared" si="6"/>
        <v>-0.17536540893769867</v>
      </c>
      <c r="AC34" s="7">
        <f t="shared" si="18"/>
        <v>0.13466898907816358</v>
      </c>
      <c r="AD34" s="7">
        <f t="shared" si="14"/>
        <v>0.42223273057209493</v>
      </c>
      <c r="AE34" s="7">
        <f t="shared" si="15"/>
        <v>0.39607102094482211</v>
      </c>
      <c r="AF34" s="7">
        <f t="shared" si="16"/>
        <v>-0.22626540893769867</v>
      </c>
    </row>
    <row r="35" spans="1:32" x14ac:dyDescent="0.3">
      <c r="A35" s="1">
        <v>35704</v>
      </c>
      <c r="B35">
        <f>AEP!F35</f>
        <v>14.752926</v>
      </c>
      <c r="C35">
        <f>DFSVX!F35</f>
        <v>4.1051710000000003</v>
      </c>
      <c r="D35">
        <f>DFLVX!F35</f>
        <v>5.5714090000000001</v>
      </c>
      <c r="E35">
        <f>FSAGX!F35</f>
        <v>8.6826790000000003</v>
      </c>
      <c r="F35" s="5">
        <f>'FRED Graph'!B45</f>
        <v>5.46</v>
      </c>
      <c r="G35" s="9">
        <f t="shared" si="0"/>
        <v>5.4600000000000003E-2</v>
      </c>
      <c r="H35" s="10">
        <f t="shared" si="8"/>
        <v>0.20158969330110191</v>
      </c>
      <c r="I35" s="10">
        <f t="shared" si="9"/>
        <v>0.41033995507026172</v>
      </c>
      <c r="J35" s="10">
        <f t="shared" si="10"/>
        <v>0.3277114089961275</v>
      </c>
      <c r="K35" s="10">
        <f t="shared" si="10"/>
        <v>-0.28200554024775243</v>
      </c>
      <c r="L35" s="10">
        <f t="shared" si="17"/>
        <v>0.13108969330110193</v>
      </c>
      <c r="M35" s="10">
        <f t="shared" si="11"/>
        <v>0.33983995507026171</v>
      </c>
      <c r="N35" s="10">
        <f t="shared" si="12"/>
        <v>0.25721140899612749</v>
      </c>
      <c r="O35" s="10">
        <f t="shared" si="13"/>
        <v>-0.35250554024775244</v>
      </c>
      <c r="Y35" s="7">
        <f t="shared" si="3"/>
        <v>0.20158969330110191</v>
      </c>
      <c r="Z35" s="7">
        <f t="shared" si="4"/>
        <v>0.41033995507026172</v>
      </c>
      <c r="AA35" s="7">
        <f t="shared" si="5"/>
        <v>0.3277114089961275</v>
      </c>
      <c r="AB35" s="7">
        <f t="shared" si="6"/>
        <v>-0.28200554024775243</v>
      </c>
      <c r="AC35" s="7">
        <f t="shared" si="18"/>
        <v>0.15068969330110191</v>
      </c>
      <c r="AD35" s="7">
        <f t="shared" si="14"/>
        <v>0.35943995507026172</v>
      </c>
      <c r="AE35" s="7">
        <f t="shared" si="15"/>
        <v>0.27681140899612749</v>
      </c>
      <c r="AF35" s="7">
        <f t="shared" si="16"/>
        <v>-0.33290554024775243</v>
      </c>
    </row>
    <row r="36" spans="1:32" x14ac:dyDescent="0.3">
      <c r="A36" s="1">
        <v>35735</v>
      </c>
      <c r="B36">
        <f>AEP!F36</f>
        <v>15.474959</v>
      </c>
      <c r="C36">
        <f>DFSVX!F36</f>
        <v>4.0701660000000004</v>
      </c>
      <c r="D36">
        <f>DFLVX!F36</f>
        <v>5.6299630000000001</v>
      </c>
      <c r="E36">
        <f>FSAGX!F36</f>
        <v>6.63558</v>
      </c>
      <c r="F36" s="5">
        <f>'FRED Graph'!B46</f>
        <v>5.46</v>
      </c>
      <c r="G36" s="9">
        <f t="shared" si="0"/>
        <v>5.4600000000000003E-2</v>
      </c>
      <c r="H36" s="10">
        <f t="shared" si="8"/>
        <v>0.26419354082391977</v>
      </c>
      <c r="I36" s="10">
        <f t="shared" si="9"/>
        <v>0.33501553737267864</v>
      </c>
      <c r="J36" s="10">
        <f t="shared" si="10"/>
        <v>0.25104617479563146</v>
      </c>
      <c r="K36" s="10">
        <f t="shared" si="10"/>
        <v>-0.42667052827412072</v>
      </c>
      <c r="L36" s="10">
        <f t="shared" si="17"/>
        <v>0.19369354082391976</v>
      </c>
      <c r="M36" s="10">
        <f t="shared" si="11"/>
        <v>0.26451553737267863</v>
      </c>
      <c r="N36" s="10">
        <f t="shared" si="12"/>
        <v>0.18054617479563145</v>
      </c>
      <c r="O36" s="10">
        <f t="shared" si="13"/>
        <v>-0.49717052827412073</v>
      </c>
      <c r="Y36" s="7">
        <f t="shared" si="3"/>
        <v>0.26419354082391977</v>
      </c>
      <c r="Z36" s="7">
        <f t="shared" si="4"/>
        <v>0.33501553737267864</v>
      </c>
      <c r="AA36" s="7">
        <f t="shared" si="5"/>
        <v>0.25104617479563146</v>
      </c>
      <c r="AB36" s="7">
        <f t="shared" si="6"/>
        <v>-0.42667052827412072</v>
      </c>
      <c r="AC36" s="7">
        <f t="shared" si="18"/>
        <v>0.21329354082391977</v>
      </c>
      <c r="AD36" s="7">
        <f t="shared" si="14"/>
        <v>0.28411553737267864</v>
      </c>
      <c r="AE36" s="7">
        <f t="shared" si="15"/>
        <v>0.20014617479563146</v>
      </c>
      <c r="AF36" s="7">
        <f t="shared" si="16"/>
        <v>-0.47757052827412072</v>
      </c>
    </row>
    <row r="37" spans="1:32" x14ac:dyDescent="0.3">
      <c r="A37" s="1">
        <v>35765</v>
      </c>
      <c r="B37">
        <f>AEP!F37</f>
        <v>16.324052999999999</v>
      </c>
      <c r="C37">
        <f>DFSVX!F37</f>
        <v>3.882225</v>
      </c>
      <c r="D37">
        <f>DFLVX!F37</f>
        <v>5.4220990000000002</v>
      </c>
      <c r="E37">
        <f>FSAGX!F37</f>
        <v>6.9619980000000004</v>
      </c>
      <c r="F37" s="5">
        <f>'FRED Graph'!B47</f>
        <v>5.53</v>
      </c>
      <c r="G37" s="9">
        <f t="shared" si="0"/>
        <v>5.5300000000000002E-2</v>
      </c>
      <c r="H37" s="10">
        <f t="shared" si="8"/>
        <v>0.32666403187689269</v>
      </c>
      <c r="I37" s="10">
        <f t="shared" si="9"/>
        <v>0.28090177913610459</v>
      </c>
      <c r="J37" s="10">
        <f t="shared" si="10"/>
        <v>0.2526426997815423</v>
      </c>
      <c r="K37" s="10">
        <f t="shared" si="10"/>
        <v>-0.38206599132371405</v>
      </c>
      <c r="L37" s="10">
        <f t="shared" si="17"/>
        <v>0.25616403187689268</v>
      </c>
      <c r="M37" s="10">
        <f t="shared" si="11"/>
        <v>0.21040177913610458</v>
      </c>
      <c r="N37" s="10">
        <f t="shared" si="12"/>
        <v>0.18214269978154229</v>
      </c>
      <c r="O37" s="10">
        <f t="shared" si="13"/>
        <v>-0.45256599132371406</v>
      </c>
      <c r="Y37" s="7">
        <f t="shared" si="3"/>
        <v>0.32666403187689269</v>
      </c>
      <c r="Z37" s="7">
        <f t="shared" si="4"/>
        <v>0.28090177913610459</v>
      </c>
      <c r="AA37" s="7">
        <f t="shared" si="5"/>
        <v>0.2526426997815423</v>
      </c>
      <c r="AB37" s="7">
        <f t="shared" si="6"/>
        <v>-0.38206599132371405</v>
      </c>
      <c r="AC37" s="7">
        <f t="shared" si="18"/>
        <v>0.27576403187689269</v>
      </c>
      <c r="AD37" s="7">
        <f t="shared" si="14"/>
        <v>0.23000177913610459</v>
      </c>
      <c r="AE37" s="7">
        <f t="shared" si="15"/>
        <v>0.2017426997815423</v>
      </c>
      <c r="AF37" s="7">
        <f t="shared" si="16"/>
        <v>-0.43296599132371405</v>
      </c>
    </row>
    <row r="38" spans="1:32" x14ac:dyDescent="0.3">
      <c r="A38" s="1">
        <v>35796</v>
      </c>
      <c r="B38">
        <f>AEP!F38</f>
        <v>15.592827</v>
      </c>
      <c r="C38">
        <f>DFSVX!F38</f>
        <v>4.0241889999999998</v>
      </c>
      <c r="D38">
        <f>DFLVX!F38</f>
        <v>5.7835200000000002</v>
      </c>
      <c r="E38">
        <f>FSAGX!F38</f>
        <v>7.3490349999999998</v>
      </c>
      <c r="F38" s="5">
        <f>'FRED Graph'!B48</f>
        <v>5.24</v>
      </c>
      <c r="G38" s="9">
        <f t="shared" si="0"/>
        <v>5.2400000000000002E-2</v>
      </c>
      <c r="H38" s="10">
        <f t="shared" si="8"/>
        <v>0.25958071079332812</v>
      </c>
      <c r="I38" s="10">
        <f t="shared" si="9"/>
        <v>0.25954363093348942</v>
      </c>
      <c r="J38" s="10">
        <f t="shared" si="10"/>
        <v>0.25348644013466143</v>
      </c>
      <c r="K38" s="10">
        <f t="shared" si="10"/>
        <v>-0.3316980064161778</v>
      </c>
      <c r="L38" s="10">
        <f t="shared" si="17"/>
        <v>0.18908071079332811</v>
      </c>
      <c r="M38" s="10">
        <f t="shared" si="11"/>
        <v>0.18904363093348941</v>
      </c>
      <c r="N38" s="10">
        <f t="shared" si="12"/>
        <v>0.18298644013466142</v>
      </c>
      <c r="O38" s="10">
        <f t="shared" si="13"/>
        <v>-0.40219800641617781</v>
      </c>
      <c r="Y38" s="7">
        <f t="shared" si="3"/>
        <v>0.25958071079332812</v>
      </c>
      <c r="Z38" s="7">
        <f t="shared" si="4"/>
        <v>0.25954363093348942</v>
      </c>
      <c r="AA38" s="7">
        <f t="shared" si="5"/>
        <v>0.25348644013466143</v>
      </c>
      <c r="AB38" s="7">
        <f t="shared" si="6"/>
        <v>-0.3316980064161778</v>
      </c>
      <c r="AC38" s="7">
        <f t="shared" si="18"/>
        <v>0.20868071079332812</v>
      </c>
      <c r="AD38" s="7">
        <f t="shared" si="14"/>
        <v>0.20864363093348942</v>
      </c>
      <c r="AE38" s="7">
        <f t="shared" si="15"/>
        <v>0.20258644013466143</v>
      </c>
      <c r="AF38" s="7">
        <f t="shared" si="16"/>
        <v>-0.3825980064161778</v>
      </c>
    </row>
    <row r="39" spans="1:32" x14ac:dyDescent="0.3">
      <c r="A39" s="1">
        <v>35827</v>
      </c>
      <c r="B39">
        <f>AEP!F39</f>
        <v>15.177809</v>
      </c>
      <c r="C39">
        <f>DFSVX!F39</f>
        <v>4.3277929999999998</v>
      </c>
      <c r="D39">
        <f>DFLVX!F39</f>
        <v>6.2891120000000003</v>
      </c>
      <c r="E39">
        <f>FSAGX!F39</f>
        <v>7.0785749999999998</v>
      </c>
      <c r="F39" s="5">
        <f>'FRED Graph'!B49</f>
        <v>5.31</v>
      </c>
      <c r="G39" s="9">
        <f t="shared" si="0"/>
        <v>5.3099999999999994E-2</v>
      </c>
      <c r="H39" s="10">
        <f t="shared" si="8"/>
        <v>0.2150424921989495</v>
      </c>
      <c r="I39" s="10">
        <f t="shared" si="9"/>
        <v>0.35456960623582517</v>
      </c>
      <c r="J39" s="10">
        <f t="shared" si="10"/>
        <v>0.33704612673840539</v>
      </c>
      <c r="K39" s="10">
        <f t="shared" si="10"/>
        <v>-0.43073354856687673</v>
      </c>
      <c r="L39" s="10">
        <f t="shared" si="17"/>
        <v>0.14454249219894949</v>
      </c>
      <c r="M39" s="10">
        <f t="shared" si="11"/>
        <v>0.28406960623582517</v>
      </c>
      <c r="N39" s="10">
        <f t="shared" si="12"/>
        <v>0.26654612673840539</v>
      </c>
      <c r="O39" s="10">
        <f t="shared" si="13"/>
        <v>-0.50123354856687674</v>
      </c>
      <c r="Y39" s="7">
        <f t="shared" si="3"/>
        <v>0.2150424921989495</v>
      </c>
      <c r="Z39" s="7">
        <f t="shared" si="4"/>
        <v>0.35456960623582517</v>
      </c>
      <c r="AA39" s="7">
        <f t="shared" si="5"/>
        <v>0.33704612673840539</v>
      </c>
      <c r="AB39" s="7">
        <f t="shared" si="6"/>
        <v>-0.43073354856687673</v>
      </c>
      <c r="AC39" s="7">
        <f t="shared" si="18"/>
        <v>0.1641424921989495</v>
      </c>
      <c r="AD39" s="7">
        <f t="shared" si="14"/>
        <v>0.30366960623582517</v>
      </c>
      <c r="AE39" s="7">
        <f t="shared" si="15"/>
        <v>0.28614612673840539</v>
      </c>
      <c r="AF39" s="7">
        <f t="shared" si="16"/>
        <v>-0.48163354856687673</v>
      </c>
    </row>
    <row r="40" spans="1:32" x14ac:dyDescent="0.3">
      <c r="A40" s="1">
        <v>35855</v>
      </c>
      <c r="B40">
        <f>AEP!F40</f>
        <v>16.084229000000001</v>
      </c>
      <c r="C40">
        <f>DFSVX!F40</f>
        <v>4.5037649999999996</v>
      </c>
      <c r="D40">
        <f>DFLVX!F40</f>
        <v>6.6251499999999997</v>
      </c>
      <c r="E40">
        <f>FSAGX!F40</f>
        <v>7.5355590000000001</v>
      </c>
      <c r="F40" s="5">
        <f>'FRED Graph'!B50</f>
        <v>5.39</v>
      </c>
      <c r="G40" s="9">
        <f t="shared" si="0"/>
        <v>5.3899999999999997E-2</v>
      </c>
      <c r="H40" s="10">
        <f t="shared" si="8"/>
        <v>0.28419920133911231</v>
      </c>
      <c r="I40" s="10">
        <f t="shared" si="9"/>
        <v>0.4480623599568001</v>
      </c>
      <c r="J40" s="10">
        <f t="shared" si="10"/>
        <v>0.48050724493560665</v>
      </c>
      <c r="K40" s="10">
        <f t="shared" si="10"/>
        <v>-0.28008273800863015</v>
      </c>
      <c r="L40" s="10">
        <f t="shared" si="17"/>
        <v>0.2136992013391123</v>
      </c>
      <c r="M40" s="10">
        <f t="shared" si="11"/>
        <v>0.3775623599568001</v>
      </c>
      <c r="N40" s="10">
        <f t="shared" si="12"/>
        <v>0.41000724493560664</v>
      </c>
      <c r="O40" s="10">
        <f t="shared" si="13"/>
        <v>-0.35058273800863016</v>
      </c>
      <c r="Y40" s="7">
        <f t="shared" si="3"/>
        <v>0.28419920133911231</v>
      </c>
      <c r="Z40" s="7">
        <f t="shared" si="4"/>
        <v>0.4480623599568001</v>
      </c>
      <c r="AA40" s="7">
        <f t="shared" si="5"/>
        <v>0.48050724493560665</v>
      </c>
      <c r="AB40" s="7">
        <f t="shared" si="6"/>
        <v>-0.28008273800863015</v>
      </c>
      <c r="AC40" s="7">
        <f t="shared" si="18"/>
        <v>0.23329920133911231</v>
      </c>
      <c r="AD40" s="7">
        <f t="shared" si="14"/>
        <v>0.3971623599568001</v>
      </c>
      <c r="AE40" s="7">
        <f t="shared" si="15"/>
        <v>0.42960724493560665</v>
      </c>
      <c r="AF40" s="7">
        <f t="shared" si="16"/>
        <v>-0.33098273800863015</v>
      </c>
    </row>
    <row r="41" spans="1:32" x14ac:dyDescent="0.3">
      <c r="A41" s="1">
        <v>35886</v>
      </c>
      <c r="B41">
        <f>AEP!F41</f>
        <v>15.284019000000001</v>
      </c>
      <c r="C41">
        <f>DFSVX!F41</f>
        <v>4.5907859999999996</v>
      </c>
      <c r="D41">
        <f>DFLVX!F41</f>
        <v>6.6769090000000002</v>
      </c>
      <c r="E41">
        <f>FSAGX!F41</f>
        <v>7.9738889999999998</v>
      </c>
      <c r="F41" s="5">
        <f>'FRED Graph'!B51</f>
        <v>5.38</v>
      </c>
      <c r="G41" s="9">
        <f t="shared" si="0"/>
        <v>5.3800000000000001E-2</v>
      </c>
      <c r="H41" s="10">
        <f t="shared" si="8"/>
        <v>0.24290692505827041</v>
      </c>
      <c r="I41" s="10">
        <f t="shared" si="9"/>
        <v>0.48218725634059273</v>
      </c>
      <c r="J41" s="10">
        <f t="shared" si="10"/>
        <v>0.43999824877263127</v>
      </c>
      <c r="K41" s="10">
        <f t="shared" si="10"/>
        <v>-0.14284668512786047</v>
      </c>
      <c r="L41" s="10">
        <f t="shared" si="17"/>
        <v>0.17240692505827043</v>
      </c>
      <c r="M41" s="10">
        <f t="shared" si="11"/>
        <v>0.41168725634059272</v>
      </c>
      <c r="N41" s="10">
        <f t="shared" si="12"/>
        <v>0.36949824877263127</v>
      </c>
      <c r="O41" s="10">
        <f t="shared" si="13"/>
        <v>-0.21334668512786048</v>
      </c>
      <c r="Y41" s="7">
        <f t="shared" si="3"/>
        <v>0.24290692505827041</v>
      </c>
      <c r="Z41" s="7">
        <f t="shared" si="4"/>
        <v>0.48218725634059273</v>
      </c>
      <c r="AA41" s="7">
        <f t="shared" si="5"/>
        <v>0.43999824877263127</v>
      </c>
      <c r="AB41" s="7">
        <f t="shared" si="6"/>
        <v>-0.14284668512786047</v>
      </c>
      <c r="AC41" s="7">
        <f t="shared" si="18"/>
        <v>0.19200692505827041</v>
      </c>
      <c r="AD41" s="7">
        <f t="shared" si="14"/>
        <v>0.43128725634059273</v>
      </c>
      <c r="AE41" s="7">
        <f t="shared" si="15"/>
        <v>0.38909824877263127</v>
      </c>
      <c r="AF41" s="7">
        <f t="shared" si="16"/>
        <v>-0.19374668512786047</v>
      </c>
    </row>
    <row r="42" spans="1:32" x14ac:dyDescent="0.3">
      <c r="A42" s="1">
        <v>35916</v>
      </c>
      <c r="B42">
        <f>AEP!F42</f>
        <v>14.523814</v>
      </c>
      <c r="C42">
        <f>DFSVX!F42</f>
        <v>4.4148129999999997</v>
      </c>
      <c r="D42">
        <f>DFLVX!F42</f>
        <v>6.6182059999999998</v>
      </c>
      <c r="E42">
        <f>FSAGX!F42</f>
        <v>6.8500829999999997</v>
      </c>
      <c r="F42" s="5">
        <f>'FRED Graph'!B52</f>
        <v>5.44</v>
      </c>
      <c r="G42" s="9">
        <f t="shared" si="0"/>
        <v>5.4400000000000004E-2</v>
      </c>
      <c r="H42" s="10">
        <f t="shared" si="8"/>
        <v>0.17745248520321977</v>
      </c>
      <c r="I42" s="10">
        <f t="shared" si="9"/>
        <v>0.30220138873935953</v>
      </c>
      <c r="J42" s="10">
        <f t="shared" si="10"/>
        <v>0.3252073300226207</v>
      </c>
      <c r="K42" s="10">
        <f t="shared" si="10"/>
        <v>-0.34125557666076589</v>
      </c>
      <c r="L42" s="10">
        <f t="shared" si="17"/>
        <v>0.10695248520321977</v>
      </c>
      <c r="M42" s="10">
        <f t="shared" si="11"/>
        <v>0.23170138873935953</v>
      </c>
      <c r="N42" s="10">
        <f t="shared" si="12"/>
        <v>0.25470733002262069</v>
      </c>
      <c r="O42" s="10">
        <f t="shared" si="13"/>
        <v>-0.4117555766607659</v>
      </c>
      <c r="Y42" s="7">
        <f t="shared" si="3"/>
        <v>0.17745248520321977</v>
      </c>
      <c r="Z42" s="7">
        <f t="shared" si="4"/>
        <v>0.30220138873935953</v>
      </c>
      <c r="AA42" s="7">
        <f t="shared" si="5"/>
        <v>0.3252073300226207</v>
      </c>
      <c r="AB42" s="7">
        <f t="shared" si="6"/>
        <v>-0.34125557666076589</v>
      </c>
      <c r="AC42" s="7">
        <f t="shared" si="18"/>
        <v>0.12655248520321977</v>
      </c>
      <c r="AD42" s="7">
        <f t="shared" si="14"/>
        <v>0.25130138873935953</v>
      </c>
      <c r="AE42" s="7">
        <f t="shared" si="15"/>
        <v>0.2743073300226207</v>
      </c>
      <c r="AF42" s="7">
        <f t="shared" si="16"/>
        <v>-0.39215557666076589</v>
      </c>
    </row>
    <row r="43" spans="1:32" x14ac:dyDescent="0.3">
      <c r="A43" s="1">
        <v>35947</v>
      </c>
      <c r="B43">
        <f>AEP!F43</f>
        <v>14.710364999999999</v>
      </c>
      <c r="C43">
        <f>DFSVX!F43</f>
        <v>4.3277929999999998</v>
      </c>
      <c r="D43">
        <f>DFLVX!F43</f>
        <v>6.5811289999999998</v>
      </c>
      <c r="E43">
        <f>FSAGX!F43</f>
        <v>6.0153889999999999</v>
      </c>
      <c r="F43" s="5">
        <f>'FRED Graph'!B53</f>
        <v>5.41</v>
      </c>
      <c r="G43" s="9">
        <f t="shared" si="0"/>
        <v>5.4100000000000002E-2</v>
      </c>
      <c r="H43" s="10">
        <f t="shared" si="8"/>
        <v>0.13884718853786099</v>
      </c>
      <c r="I43" s="10">
        <f t="shared" si="9"/>
        <v>0.20144418944305342</v>
      </c>
      <c r="J43" s="10">
        <f t="shared" si="10"/>
        <v>0.28416658129789785</v>
      </c>
      <c r="K43" s="10">
        <f t="shared" si="10"/>
        <v>-0.36733699016601312</v>
      </c>
      <c r="L43" s="10">
        <f t="shared" si="17"/>
        <v>6.8347188537860995E-2</v>
      </c>
      <c r="M43" s="10">
        <f t="shared" si="11"/>
        <v>0.13094418944305342</v>
      </c>
      <c r="N43" s="10">
        <f t="shared" si="12"/>
        <v>0.21366658129789784</v>
      </c>
      <c r="O43" s="10">
        <f t="shared" si="13"/>
        <v>-0.43783699016601313</v>
      </c>
      <c r="Y43" s="7">
        <f t="shared" si="3"/>
        <v>0.13884718853786099</v>
      </c>
      <c r="Z43" s="7">
        <f t="shared" si="4"/>
        <v>0.20144418944305342</v>
      </c>
      <c r="AA43" s="7">
        <f t="shared" si="5"/>
        <v>0.28416658129789785</v>
      </c>
      <c r="AB43" s="7">
        <f t="shared" si="6"/>
        <v>-0.36733699016601312</v>
      </c>
      <c r="AC43" s="7">
        <f t="shared" si="18"/>
        <v>8.7947188537860987E-2</v>
      </c>
      <c r="AD43" s="7">
        <f t="shared" si="14"/>
        <v>0.15054418944305342</v>
      </c>
      <c r="AE43" s="7">
        <f t="shared" si="15"/>
        <v>0.23326658129789785</v>
      </c>
      <c r="AF43" s="7">
        <f t="shared" si="16"/>
        <v>-0.41823699016601312</v>
      </c>
    </row>
    <row r="44" spans="1:32" x14ac:dyDescent="0.3">
      <c r="A44" s="1">
        <v>35977</v>
      </c>
      <c r="B44">
        <f>AEP!F44</f>
        <v>13.920147</v>
      </c>
      <c r="C44">
        <f>DFSVX!F44</f>
        <v>4.008718</v>
      </c>
      <c r="D44">
        <f>DFLVX!F44</f>
        <v>6.3729050000000003</v>
      </c>
      <c r="E44">
        <f>FSAGX!F44</f>
        <v>5.5723950000000002</v>
      </c>
      <c r="F44" s="5">
        <f>'FRED Graph'!B54</f>
        <v>5.36</v>
      </c>
      <c r="G44" s="9">
        <f t="shared" si="0"/>
        <v>5.3600000000000002E-2</v>
      </c>
      <c r="H44" s="10">
        <f t="shared" si="8"/>
        <v>9.9389421451123883E-3</v>
      </c>
      <c r="I44" s="10">
        <f t="shared" si="9"/>
        <v>5.0024936244936785E-2</v>
      </c>
      <c r="J44" s="10">
        <f t="shared" si="10"/>
        <v>0.1251679258271467</v>
      </c>
      <c r="K44" s="10">
        <f t="shared" si="10"/>
        <v>-0.40458416325375746</v>
      </c>
      <c r="L44" s="10">
        <f t="shared" si="17"/>
        <v>-6.0561057854887607E-2</v>
      </c>
      <c r="M44" s="10">
        <f t="shared" si="11"/>
        <v>-2.0475063755063208E-2</v>
      </c>
      <c r="N44" s="10">
        <f t="shared" si="12"/>
        <v>5.4667925827146704E-2</v>
      </c>
      <c r="O44" s="10">
        <f t="shared" si="13"/>
        <v>-0.47508416325375746</v>
      </c>
      <c r="Y44" s="7">
        <f t="shared" si="3"/>
        <v>9.9389421451123883E-3</v>
      </c>
      <c r="Z44" s="7">
        <f t="shared" si="4"/>
        <v>5.0024936244936785E-2</v>
      </c>
      <c r="AA44" s="7">
        <f t="shared" si="5"/>
        <v>0.1251679258271467</v>
      </c>
      <c r="AB44" s="7">
        <f t="shared" si="6"/>
        <v>-0.40458416325375746</v>
      </c>
      <c r="AC44" s="7">
        <f t="shared" si="18"/>
        <v>-4.0961057854887614E-2</v>
      </c>
      <c r="AD44" s="7">
        <f t="shared" si="14"/>
        <v>-8.7506375506321565E-4</v>
      </c>
      <c r="AE44" s="7">
        <f t="shared" si="15"/>
        <v>7.4267925827146697E-2</v>
      </c>
      <c r="AF44" s="7">
        <f t="shared" si="16"/>
        <v>-0.45548416325375746</v>
      </c>
    </row>
    <row r="45" spans="1:32" x14ac:dyDescent="0.3">
      <c r="A45" s="1">
        <v>36008</v>
      </c>
      <c r="B45">
        <f>AEP!F45</f>
        <v>14.669851</v>
      </c>
      <c r="C45">
        <f>DFSVX!F45</f>
        <v>3.270016</v>
      </c>
      <c r="D45">
        <f>DFLVX!F45</f>
        <v>5.2105329999999999</v>
      </c>
      <c r="E45">
        <f>FSAGX!F45</f>
        <v>4.1128470000000004</v>
      </c>
      <c r="F45" s="5">
        <f>'FRED Graph'!B55</f>
        <v>5.21</v>
      </c>
      <c r="G45" s="9">
        <f t="shared" si="0"/>
        <v>5.21E-2</v>
      </c>
      <c r="H45" s="10">
        <f t="shared" si="8"/>
        <v>9.0217491309012895E-2</v>
      </c>
      <c r="I45" s="10">
        <f t="shared" si="9"/>
        <v>-0.17261788492815724</v>
      </c>
      <c r="J45" s="10">
        <f t="shared" si="10"/>
        <v>-6.6101593451263693E-2</v>
      </c>
      <c r="K45" s="10">
        <f t="shared" si="10"/>
        <v>-0.56465937854164039</v>
      </c>
      <c r="L45" s="10">
        <f t="shared" si="17"/>
        <v>1.9717491309012902E-2</v>
      </c>
      <c r="M45" s="10">
        <f t="shared" si="11"/>
        <v>-0.24311788492815722</v>
      </c>
      <c r="N45" s="10">
        <f t="shared" si="12"/>
        <v>-0.13660159345126369</v>
      </c>
      <c r="O45" s="10">
        <f t="shared" si="13"/>
        <v>-0.6351593785416404</v>
      </c>
      <c r="Y45" s="7">
        <f t="shared" si="3"/>
        <v>9.0217491309012895E-2</v>
      </c>
      <c r="Z45" s="7">
        <f t="shared" si="4"/>
        <v>-0.17261788492815724</v>
      </c>
      <c r="AA45" s="7">
        <f t="shared" si="5"/>
        <v>-6.6101593451263693E-2</v>
      </c>
      <c r="AB45" s="7">
        <f t="shared" si="6"/>
        <v>-0.56465937854164039</v>
      </c>
      <c r="AC45" s="7">
        <f t="shared" si="18"/>
        <v>3.9317491309012895E-2</v>
      </c>
      <c r="AD45" s="7">
        <f t="shared" si="14"/>
        <v>-0.22351788492815725</v>
      </c>
      <c r="AE45" s="7">
        <f t="shared" si="15"/>
        <v>-0.11700159345126369</v>
      </c>
      <c r="AF45" s="7">
        <f t="shared" si="16"/>
        <v>-0.61555937854164045</v>
      </c>
    </row>
    <row r="46" spans="1:32" x14ac:dyDescent="0.3">
      <c r="A46" s="1">
        <v>36039</v>
      </c>
      <c r="B46">
        <f>AEP!F46</f>
        <v>16.044205000000002</v>
      </c>
      <c r="C46">
        <f>DFSVX!F46</f>
        <v>3.362838</v>
      </c>
      <c r="D46">
        <f>DFLVX!F46</f>
        <v>5.4523039999999998</v>
      </c>
      <c r="E46">
        <f>FSAGX!F46</f>
        <v>6.3791099999999998</v>
      </c>
      <c r="F46" s="5">
        <f>'FRED Graph'!B56</f>
        <v>4.71</v>
      </c>
      <c r="G46" s="9">
        <f t="shared" si="0"/>
        <v>4.7100000000000003E-2</v>
      </c>
      <c r="H46" s="10">
        <f t="shared" si="8"/>
        <v>0.12935464513665393</v>
      </c>
      <c r="I46" s="10">
        <f t="shared" si="9"/>
        <v>-0.20990813065549074</v>
      </c>
      <c r="J46" s="10">
        <f t="shared" si="10"/>
        <v>-6.8560669929255982E-2</v>
      </c>
      <c r="K46" s="10">
        <f t="shared" si="10"/>
        <v>-0.37789901229152445</v>
      </c>
      <c r="L46" s="10">
        <f t="shared" si="17"/>
        <v>5.8854645136653935E-2</v>
      </c>
      <c r="M46" s="10">
        <f t="shared" si="11"/>
        <v>-0.28040813065549075</v>
      </c>
      <c r="N46" s="10">
        <f t="shared" si="12"/>
        <v>-0.13906066992925598</v>
      </c>
      <c r="O46" s="10">
        <f t="shared" si="13"/>
        <v>-0.44839901229152446</v>
      </c>
      <c r="Y46" s="7">
        <f t="shared" si="3"/>
        <v>0.12935464513665393</v>
      </c>
      <c r="Z46" s="7">
        <f t="shared" si="4"/>
        <v>-0.20990813065549074</v>
      </c>
      <c r="AA46" s="7">
        <f t="shared" si="5"/>
        <v>-6.8560669929255982E-2</v>
      </c>
      <c r="AB46" s="7">
        <f t="shared" si="6"/>
        <v>-0.37789901229152445</v>
      </c>
      <c r="AC46" s="7">
        <f t="shared" si="18"/>
        <v>7.8454645136653928E-2</v>
      </c>
      <c r="AD46" s="7">
        <f t="shared" si="14"/>
        <v>-0.26080813065549074</v>
      </c>
      <c r="AE46" s="7">
        <f t="shared" si="15"/>
        <v>-0.11946066992925598</v>
      </c>
      <c r="AF46" s="7">
        <f t="shared" si="16"/>
        <v>-0.42879901229152445</v>
      </c>
    </row>
    <row r="47" spans="1:32" x14ac:dyDescent="0.3">
      <c r="A47" s="1">
        <v>36069</v>
      </c>
      <c r="B47">
        <f>AEP!F47</f>
        <v>16.085289</v>
      </c>
      <c r="C47">
        <f>DFSVX!F47</f>
        <v>3.5059369999999999</v>
      </c>
      <c r="D47">
        <f>DFLVX!F47</f>
        <v>5.9228930000000002</v>
      </c>
      <c r="E47">
        <f>FSAGX!F47</f>
        <v>6.1879220000000004</v>
      </c>
      <c r="F47" s="5">
        <f>'FRED Graph'!B57</f>
        <v>4.12</v>
      </c>
      <c r="G47" s="9">
        <f t="shared" si="0"/>
        <v>4.1200000000000001E-2</v>
      </c>
      <c r="H47" s="10">
        <f t="shared" si="8"/>
        <v>9.031177950733292E-2</v>
      </c>
      <c r="I47" s="10">
        <f t="shared" si="9"/>
        <v>-0.14597053326158654</v>
      </c>
      <c r="J47" s="10">
        <f t="shared" si="10"/>
        <v>6.3087093408507641E-2</v>
      </c>
      <c r="K47" s="10">
        <f t="shared" si="10"/>
        <v>-0.28732572055237787</v>
      </c>
      <c r="L47" s="10">
        <f t="shared" si="17"/>
        <v>1.9811779507332927E-2</v>
      </c>
      <c r="M47" s="10">
        <f t="shared" si="11"/>
        <v>-0.21647053326158655</v>
      </c>
      <c r="N47" s="10">
        <f t="shared" si="12"/>
        <v>-7.412906591492352E-3</v>
      </c>
      <c r="O47" s="10">
        <f t="shared" si="13"/>
        <v>-0.35782572055237788</v>
      </c>
      <c r="Y47" s="7">
        <f t="shared" si="3"/>
        <v>9.031177950733292E-2</v>
      </c>
      <c r="Z47" s="7">
        <f t="shared" si="4"/>
        <v>-0.14597053326158654</v>
      </c>
      <c r="AA47" s="7">
        <f t="shared" si="5"/>
        <v>6.3087093408507641E-2</v>
      </c>
      <c r="AB47" s="7">
        <f t="shared" si="6"/>
        <v>-0.28732572055237787</v>
      </c>
      <c r="AC47" s="7">
        <f t="shared" si="18"/>
        <v>3.941177950733292E-2</v>
      </c>
      <c r="AD47" s="7">
        <f t="shared" si="14"/>
        <v>-0.19687053326158654</v>
      </c>
      <c r="AE47" s="7">
        <f t="shared" si="15"/>
        <v>1.218709340850764E-2</v>
      </c>
      <c r="AF47" s="7">
        <f t="shared" si="16"/>
        <v>-0.33822572055237787</v>
      </c>
    </row>
    <row r="48" spans="1:32" x14ac:dyDescent="0.3">
      <c r="A48" s="1">
        <v>36100</v>
      </c>
      <c r="B48">
        <f>AEP!F48</f>
        <v>15.243012999999999</v>
      </c>
      <c r="C48">
        <f>DFSVX!F48</f>
        <v>3.6915789999999999</v>
      </c>
      <c r="D48">
        <f>DFLVX!F48</f>
        <v>6.2901559999999996</v>
      </c>
      <c r="E48">
        <f>FSAGX!F48</f>
        <v>6.0573560000000004</v>
      </c>
      <c r="F48" s="5">
        <f>'FRED Graph'!B58</f>
        <v>4.53</v>
      </c>
      <c r="G48" s="9">
        <f t="shared" si="0"/>
        <v>4.53E-2</v>
      </c>
      <c r="H48" s="10">
        <f t="shared" si="8"/>
        <v>-1.4988472667358968E-2</v>
      </c>
      <c r="I48" s="10">
        <f t="shared" si="9"/>
        <v>-9.3015125181626607E-2</v>
      </c>
      <c r="J48" s="10">
        <f t="shared" si="10"/>
        <v>0.11726418095465274</v>
      </c>
      <c r="K48" s="10">
        <f t="shared" si="10"/>
        <v>-8.7139933509956871E-2</v>
      </c>
      <c r="L48" s="10">
        <f t="shared" si="17"/>
        <v>-8.5488472667358956E-2</v>
      </c>
      <c r="M48" s="10">
        <f t="shared" si="11"/>
        <v>-0.16351512518162659</v>
      </c>
      <c r="N48" s="10">
        <f t="shared" si="12"/>
        <v>4.6764180954652748E-2</v>
      </c>
      <c r="O48" s="10">
        <f t="shared" si="13"/>
        <v>-0.15763993350995686</v>
      </c>
      <c r="Y48" s="7">
        <f t="shared" si="3"/>
        <v>-1.4988472667358968E-2</v>
      </c>
      <c r="Z48" s="7">
        <f t="shared" si="4"/>
        <v>-9.3015125181626607E-2</v>
      </c>
      <c r="AA48" s="7">
        <f t="shared" si="5"/>
        <v>0.11726418095465274</v>
      </c>
      <c r="AB48" s="7">
        <f t="shared" si="6"/>
        <v>-8.7139933509956871E-2</v>
      </c>
      <c r="AC48" s="7">
        <f t="shared" si="18"/>
        <v>-6.5888472667358963E-2</v>
      </c>
      <c r="AD48" s="7">
        <f t="shared" si="14"/>
        <v>-0.14391512518162661</v>
      </c>
      <c r="AE48" s="7">
        <f t="shared" si="15"/>
        <v>6.6364180954652741E-2</v>
      </c>
      <c r="AF48" s="7">
        <f t="shared" si="16"/>
        <v>-0.13803993350995686</v>
      </c>
    </row>
    <row r="49" spans="1:32" x14ac:dyDescent="0.3">
      <c r="A49" s="1">
        <v>36130</v>
      </c>
      <c r="B49">
        <f>AEP!F49</f>
        <v>15.655457</v>
      </c>
      <c r="C49">
        <f>DFSVX!F49</f>
        <v>3.4672610000000001</v>
      </c>
      <c r="D49">
        <f>DFLVX!F49</f>
        <v>6.1501020000000004</v>
      </c>
      <c r="E49">
        <f>FSAGX!F49</f>
        <v>6.3604589999999996</v>
      </c>
      <c r="F49" s="5">
        <f>'FRED Graph'!B59</f>
        <v>4.5199999999999996</v>
      </c>
      <c r="G49" s="9">
        <f t="shared" si="0"/>
        <v>4.5199999999999997E-2</v>
      </c>
      <c r="H49" s="10">
        <f t="shared" si="8"/>
        <v>-4.0957720487675403E-2</v>
      </c>
      <c r="I49" s="10">
        <f t="shared" si="9"/>
        <v>-0.10688818911835349</v>
      </c>
      <c r="J49" s="10">
        <f t="shared" si="10"/>
        <v>0.13426589960825136</v>
      </c>
      <c r="K49" s="10">
        <f t="shared" si="10"/>
        <v>-8.6403213560245301E-2</v>
      </c>
      <c r="L49" s="10">
        <f t="shared" si="17"/>
        <v>-0.1114577204876754</v>
      </c>
      <c r="M49" s="10">
        <f t="shared" si="11"/>
        <v>-0.17738818911835347</v>
      </c>
      <c r="N49" s="10">
        <f t="shared" si="12"/>
        <v>6.3765899608251367E-2</v>
      </c>
      <c r="O49" s="10">
        <f t="shared" si="13"/>
        <v>-0.15690321356024528</v>
      </c>
      <c r="Y49" s="7">
        <f t="shared" si="3"/>
        <v>-4.0957720487675403E-2</v>
      </c>
      <c r="Z49" s="7">
        <f t="shared" si="4"/>
        <v>-0.10688818911835349</v>
      </c>
      <c r="AA49" s="7">
        <f t="shared" si="5"/>
        <v>0.13426589960825136</v>
      </c>
      <c r="AB49" s="7">
        <f t="shared" si="6"/>
        <v>-8.6403213560245301E-2</v>
      </c>
      <c r="AC49" s="7">
        <f t="shared" si="18"/>
        <v>-9.1857720487675404E-2</v>
      </c>
      <c r="AD49" s="7">
        <f t="shared" si="14"/>
        <v>-0.15778818911835349</v>
      </c>
      <c r="AE49" s="7">
        <f t="shared" si="15"/>
        <v>8.3365899608251359E-2</v>
      </c>
      <c r="AF49" s="7">
        <f t="shared" si="16"/>
        <v>-0.1373032135602453</v>
      </c>
    </row>
    <row r="50" spans="1:32" x14ac:dyDescent="0.3">
      <c r="A50" s="1">
        <v>36161</v>
      </c>
      <c r="B50">
        <f>AEP!F50</f>
        <v>14.574344</v>
      </c>
      <c r="C50">
        <f>DFSVX!F50</f>
        <v>3.8377859999999999</v>
      </c>
      <c r="D50">
        <f>DFLVX!F50</f>
        <v>6.5181040000000001</v>
      </c>
      <c r="E50">
        <f>FSAGX!F50</f>
        <v>6.1832609999999999</v>
      </c>
      <c r="F50" s="5">
        <f>'FRED Graph'!B60</f>
        <v>4.51</v>
      </c>
      <c r="G50" s="9">
        <f t="shared" si="0"/>
        <v>4.5100000000000001E-2</v>
      </c>
      <c r="H50" s="10">
        <f t="shared" si="8"/>
        <v>-6.5317405240242821E-2</v>
      </c>
      <c r="I50" s="10">
        <f t="shared" si="9"/>
        <v>-4.6320637524728557E-2</v>
      </c>
      <c r="J50" s="10">
        <f t="shared" si="10"/>
        <v>0.12701330677511272</v>
      </c>
      <c r="K50" s="10">
        <f t="shared" si="10"/>
        <v>-0.15862953435383012</v>
      </c>
      <c r="L50" s="10">
        <f t="shared" si="17"/>
        <v>-0.13581740524024283</v>
      </c>
      <c r="M50" s="10">
        <f t="shared" si="11"/>
        <v>-0.11682063752472854</v>
      </c>
      <c r="N50" s="10">
        <f t="shared" si="12"/>
        <v>5.6513306775112723E-2</v>
      </c>
      <c r="O50" s="10">
        <f t="shared" si="13"/>
        <v>-0.2291295343538301</v>
      </c>
      <c r="Y50" s="7">
        <f t="shared" si="3"/>
        <v>-6.5317405240242821E-2</v>
      </c>
      <c r="Z50" s="7">
        <f t="shared" si="4"/>
        <v>-4.6320637524728557E-2</v>
      </c>
      <c r="AA50" s="7">
        <f t="shared" si="5"/>
        <v>0.12701330677511272</v>
      </c>
      <c r="AB50" s="7">
        <f t="shared" si="6"/>
        <v>-0.15862953435383012</v>
      </c>
      <c r="AC50" s="7">
        <f t="shared" si="18"/>
        <v>-0.11621740524024282</v>
      </c>
      <c r="AD50" s="7">
        <f t="shared" si="14"/>
        <v>-9.7220637524728565E-2</v>
      </c>
      <c r="AE50" s="7">
        <f t="shared" si="15"/>
        <v>7.6113306775112716E-2</v>
      </c>
      <c r="AF50" s="7">
        <f t="shared" si="16"/>
        <v>-0.20952953435383012</v>
      </c>
    </row>
    <row r="51" spans="1:32" x14ac:dyDescent="0.3">
      <c r="A51" s="1">
        <v>36192</v>
      </c>
      <c r="B51">
        <f>AEP!F51</f>
        <v>13.846662</v>
      </c>
      <c r="C51">
        <f>DFSVX!F51</f>
        <v>3.5216599999999998</v>
      </c>
      <c r="D51">
        <f>DFLVX!F51</f>
        <v>6.3498099999999997</v>
      </c>
      <c r="E51">
        <f>FSAGX!F51</f>
        <v>5.9640969999999998</v>
      </c>
      <c r="F51" s="5">
        <f>'FRED Graph'!B61</f>
        <v>4.7</v>
      </c>
      <c r="G51" s="9">
        <f t="shared" si="0"/>
        <v>4.7E-2</v>
      </c>
      <c r="H51" s="10">
        <f t="shared" si="8"/>
        <v>-8.7703501869077397E-2</v>
      </c>
      <c r="I51" s="10">
        <f t="shared" si="9"/>
        <v>-0.1862688441891745</v>
      </c>
      <c r="J51" s="10">
        <f t="shared" si="10"/>
        <v>9.6512830428205874E-3</v>
      </c>
      <c r="K51" s="10">
        <f t="shared" si="10"/>
        <v>-0.15744383580028468</v>
      </c>
      <c r="L51" s="10">
        <f t="shared" si="17"/>
        <v>-0.15820350186907739</v>
      </c>
      <c r="M51" s="10">
        <f t="shared" si="11"/>
        <v>-0.25676884418917451</v>
      </c>
      <c r="N51" s="10">
        <f t="shared" si="12"/>
        <v>-6.0848716957179402E-2</v>
      </c>
      <c r="O51" s="10">
        <f t="shared" si="13"/>
        <v>-0.22794383580028466</v>
      </c>
      <c r="Y51" s="7">
        <f t="shared" si="3"/>
        <v>-8.7703501869077397E-2</v>
      </c>
      <c r="Z51" s="7">
        <f t="shared" si="4"/>
        <v>-0.1862688441891745</v>
      </c>
      <c r="AA51" s="7">
        <f t="shared" si="5"/>
        <v>9.6512830428205874E-3</v>
      </c>
      <c r="AB51" s="7">
        <f t="shared" si="6"/>
        <v>-0.15744383580028468</v>
      </c>
      <c r="AC51" s="7">
        <f t="shared" si="18"/>
        <v>-0.13860350186907738</v>
      </c>
      <c r="AD51" s="7">
        <f t="shared" si="14"/>
        <v>-0.2371688441891745</v>
      </c>
      <c r="AE51" s="7">
        <f t="shared" si="15"/>
        <v>-4.124871695717941E-2</v>
      </c>
      <c r="AF51" s="7">
        <f t="shared" si="16"/>
        <v>-0.20834383580028468</v>
      </c>
    </row>
    <row r="52" spans="1:32" x14ac:dyDescent="0.3">
      <c r="A52" s="1">
        <v>36220</v>
      </c>
      <c r="B52">
        <f>AEP!F52</f>
        <v>13.390084999999999</v>
      </c>
      <c r="C52">
        <f>DFSVX!F52</f>
        <v>3.4542199999999998</v>
      </c>
      <c r="D52">
        <f>DFLVX!F52</f>
        <v>6.5375240000000003</v>
      </c>
      <c r="E52">
        <f>FSAGX!F52</f>
        <v>5.9734210000000001</v>
      </c>
      <c r="F52" s="5">
        <f>'FRED Graph'!B62</f>
        <v>4.78</v>
      </c>
      <c r="G52" s="9">
        <f t="shared" si="0"/>
        <v>4.7800000000000002E-2</v>
      </c>
      <c r="H52" s="10">
        <f t="shared" si="8"/>
        <v>-0.16750221599058315</v>
      </c>
      <c r="I52" s="10">
        <f t="shared" si="9"/>
        <v>-0.23303724772495896</v>
      </c>
      <c r="J52" s="10">
        <f t="shared" si="10"/>
        <v>-1.322626657509631E-2</v>
      </c>
      <c r="K52" s="10">
        <f t="shared" si="10"/>
        <v>-0.20730220545018624</v>
      </c>
      <c r="L52" s="10">
        <f t="shared" si="17"/>
        <v>-0.23800221599058313</v>
      </c>
      <c r="M52" s="10">
        <f t="shared" si="11"/>
        <v>-0.30353724772495894</v>
      </c>
      <c r="N52" s="10">
        <f t="shared" si="12"/>
        <v>-8.3726266575096298E-2</v>
      </c>
      <c r="O52" s="10">
        <f t="shared" si="13"/>
        <v>-0.27780220545018625</v>
      </c>
      <c r="Y52" s="7">
        <f t="shared" si="3"/>
        <v>-0.16750221599058315</v>
      </c>
      <c r="Z52" s="7">
        <f t="shared" si="4"/>
        <v>-0.23303724772495896</v>
      </c>
      <c r="AA52" s="7">
        <f t="shared" si="5"/>
        <v>-1.322626657509631E-2</v>
      </c>
      <c r="AB52" s="7">
        <f t="shared" si="6"/>
        <v>-0.20730220545018624</v>
      </c>
      <c r="AC52" s="7">
        <f t="shared" si="18"/>
        <v>-0.21840221599058315</v>
      </c>
      <c r="AD52" s="7">
        <f t="shared" si="14"/>
        <v>-0.28393724772495899</v>
      </c>
      <c r="AE52" s="7">
        <f t="shared" si="15"/>
        <v>-6.4126266575096305E-2</v>
      </c>
      <c r="AF52" s="7">
        <f t="shared" si="16"/>
        <v>-0.25820220545018624</v>
      </c>
    </row>
    <row r="53" spans="1:32" x14ac:dyDescent="0.3">
      <c r="A53" s="1">
        <v>36251</v>
      </c>
      <c r="B53">
        <f>AEP!F53</f>
        <v>13.980505000000001</v>
      </c>
      <c r="C53">
        <f>DFSVX!F53</f>
        <v>3.8230360000000001</v>
      </c>
      <c r="D53">
        <f>DFLVX!F53</f>
        <v>7.252872</v>
      </c>
      <c r="E53">
        <f>FSAGX!F53</f>
        <v>6.9060389999999998</v>
      </c>
      <c r="F53" s="5">
        <f>'FRED Graph'!B63</f>
        <v>4.6900000000000004</v>
      </c>
      <c r="G53" s="9">
        <f t="shared" si="0"/>
        <v>4.6900000000000004E-2</v>
      </c>
      <c r="H53" s="10">
        <f t="shared" si="8"/>
        <v>-8.5286075606160902E-2</v>
      </c>
      <c r="I53" s="10">
        <f t="shared" si="9"/>
        <v>-0.16723715721011601</v>
      </c>
      <c r="J53" s="10">
        <f t="shared" si="10"/>
        <v>8.6261921496908187E-2</v>
      </c>
      <c r="K53" s="10">
        <f t="shared" si="10"/>
        <v>-0.13391834273088074</v>
      </c>
      <c r="L53" s="10">
        <f t="shared" si="17"/>
        <v>-0.1557860756061609</v>
      </c>
      <c r="M53" s="10">
        <f t="shared" si="11"/>
        <v>-0.23773715721011601</v>
      </c>
      <c r="N53" s="10">
        <f t="shared" si="12"/>
        <v>1.5761921496908193E-2</v>
      </c>
      <c r="O53" s="10">
        <f t="shared" si="13"/>
        <v>-0.20441834273088072</v>
      </c>
      <c r="Y53" s="7">
        <f t="shared" si="3"/>
        <v>-8.5286075606160902E-2</v>
      </c>
      <c r="Z53" s="7">
        <f t="shared" si="4"/>
        <v>-0.16723715721011601</v>
      </c>
      <c r="AA53" s="7">
        <f t="shared" si="5"/>
        <v>8.6261921496908187E-2</v>
      </c>
      <c r="AB53" s="7">
        <f t="shared" si="6"/>
        <v>-0.13391834273088074</v>
      </c>
      <c r="AC53" s="7">
        <f t="shared" si="18"/>
        <v>-0.13618607560616092</v>
      </c>
      <c r="AD53" s="7">
        <f t="shared" si="14"/>
        <v>-0.21813715721011601</v>
      </c>
      <c r="AE53" s="7">
        <f t="shared" si="15"/>
        <v>3.5361921496908186E-2</v>
      </c>
      <c r="AF53" s="7">
        <f t="shared" si="16"/>
        <v>-0.18481834273088074</v>
      </c>
    </row>
    <row r="54" spans="1:32" x14ac:dyDescent="0.3">
      <c r="A54" s="1">
        <v>36281</v>
      </c>
      <c r="B54">
        <f>AEP!F54</f>
        <v>14.634199000000001</v>
      </c>
      <c r="C54">
        <f>DFSVX!F54</f>
        <v>4.0021740000000001</v>
      </c>
      <c r="D54">
        <f>DFLVX!F54</f>
        <v>7.2431340000000004</v>
      </c>
      <c r="E54">
        <f>FSAGX!F54</f>
        <v>5.8428529999999999</v>
      </c>
      <c r="F54" s="5">
        <f>'FRED Graph'!B64</f>
        <v>4.8499999999999996</v>
      </c>
      <c r="G54" s="9">
        <f t="shared" si="0"/>
        <v>4.8499999999999995E-2</v>
      </c>
      <c r="H54" s="10">
        <f t="shared" si="8"/>
        <v>7.6002763461443974E-3</v>
      </c>
      <c r="I54" s="10">
        <f t="shared" si="9"/>
        <v>-9.346692600569935E-2</v>
      </c>
      <c r="J54" s="10">
        <f t="shared" si="10"/>
        <v>9.4425589049358785E-2</v>
      </c>
      <c r="K54" s="10">
        <f t="shared" si="10"/>
        <v>-0.14703909427082854</v>
      </c>
      <c r="L54" s="10">
        <f t="shared" si="17"/>
        <v>-6.2899723653855599E-2</v>
      </c>
      <c r="M54" s="10">
        <f t="shared" si="11"/>
        <v>-0.16396692600569934</v>
      </c>
      <c r="N54" s="10">
        <f t="shared" si="12"/>
        <v>2.3925589049358792E-2</v>
      </c>
      <c r="O54" s="10">
        <f t="shared" si="13"/>
        <v>-0.21753909427082851</v>
      </c>
      <c r="Y54" s="7">
        <f t="shared" si="3"/>
        <v>7.6002763461443974E-3</v>
      </c>
      <c r="Z54" s="7">
        <f t="shared" si="4"/>
        <v>-9.346692600569935E-2</v>
      </c>
      <c r="AA54" s="7">
        <f t="shared" si="5"/>
        <v>9.4425589049358785E-2</v>
      </c>
      <c r="AB54" s="7">
        <f t="shared" si="6"/>
        <v>-0.14703909427082854</v>
      </c>
      <c r="AC54" s="7">
        <f t="shared" si="18"/>
        <v>-4.3299723653855607E-2</v>
      </c>
      <c r="AD54" s="7">
        <f t="shared" si="14"/>
        <v>-0.14436692600569934</v>
      </c>
      <c r="AE54" s="7">
        <f t="shared" si="15"/>
        <v>4.3525589049358784E-2</v>
      </c>
      <c r="AF54" s="7">
        <f t="shared" si="16"/>
        <v>-0.19793909427082854</v>
      </c>
    </row>
    <row r="55" spans="1:32" x14ac:dyDescent="0.3">
      <c r="A55" s="1">
        <v>36312</v>
      </c>
      <c r="B55">
        <f>AEP!F55</f>
        <v>12.857358</v>
      </c>
      <c r="C55">
        <f>DFSVX!F55</f>
        <v>4.2466439999999999</v>
      </c>
      <c r="D55">
        <f>DFLVX!F55</f>
        <v>7.330756</v>
      </c>
      <c r="E55">
        <f>FSAGX!F55</f>
        <v>6.1226380000000002</v>
      </c>
      <c r="F55" s="5">
        <f>'FRED Graph'!B65</f>
        <v>5.0999999999999996</v>
      </c>
      <c r="G55" s="9">
        <f t="shared" si="0"/>
        <v>5.0999999999999997E-2</v>
      </c>
      <c r="H55" s="10">
        <f t="shared" si="8"/>
        <v>-0.12596607901979318</v>
      </c>
      <c r="I55" s="10">
        <f t="shared" si="9"/>
        <v>-1.8750665755039558E-2</v>
      </c>
      <c r="J55" s="10">
        <f t="shared" si="10"/>
        <v>0.11390553201433984</v>
      </c>
      <c r="K55" s="10">
        <f t="shared" si="10"/>
        <v>1.7829104651419944E-2</v>
      </c>
      <c r="L55" s="10">
        <f t="shared" si="17"/>
        <v>-0.19646607901979318</v>
      </c>
      <c r="M55" s="10">
        <f t="shared" si="11"/>
        <v>-8.9250665755039552E-2</v>
      </c>
      <c r="N55" s="10">
        <f t="shared" si="12"/>
        <v>4.3405532014339845E-2</v>
      </c>
      <c r="O55" s="10">
        <f t="shared" si="13"/>
        <v>-5.2670895348580049E-2</v>
      </c>
      <c r="Y55" s="7">
        <f t="shared" si="3"/>
        <v>-0.12596607901979318</v>
      </c>
      <c r="Z55" s="7">
        <f t="shared" si="4"/>
        <v>-1.8750665755039558E-2</v>
      </c>
      <c r="AA55" s="7">
        <f t="shared" si="5"/>
        <v>0.11390553201433984</v>
      </c>
      <c r="AB55" s="7">
        <f t="shared" si="6"/>
        <v>1.7829104651419944E-2</v>
      </c>
      <c r="AC55" s="7">
        <f t="shared" si="18"/>
        <v>-0.17686607901979318</v>
      </c>
      <c r="AD55" s="7">
        <f t="shared" si="14"/>
        <v>-6.9650665755039559E-2</v>
      </c>
      <c r="AE55" s="7">
        <f t="shared" si="15"/>
        <v>6.3005532014339838E-2</v>
      </c>
      <c r="AF55" s="7">
        <f t="shared" si="16"/>
        <v>-3.3070895348580057E-2</v>
      </c>
    </row>
    <row r="56" spans="1:32" x14ac:dyDescent="0.3">
      <c r="A56" s="1">
        <v>36342</v>
      </c>
      <c r="B56">
        <f>AEP!F56</f>
        <v>12.108587999999999</v>
      </c>
      <c r="C56">
        <f>DFSVX!F56</f>
        <v>4.2276800000000003</v>
      </c>
      <c r="D56">
        <f>DFLVX!F56</f>
        <v>7.0584829999999998</v>
      </c>
      <c r="E56">
        <f>FSAGX!F56</f>
        <v>5.7589199999999998</v>
      </c>
      <c r="F56" s="5">
        <f>'FRED Graph'!B66</f>
        <v>5.03</v>
      </c>
      <c r="G56" s="9">
        <f t="shared" si="0"/>
        <v>5.0300000000000004E-2</v>
      </c>
      <c r="H56" s="10">
        <f t="shared" si="8"/>
        <v>-0.13013935844211996</v>
      </c>
      <c r="I56" s="10">
        <f t="shared" si="9"/>
        <v>5.4621452544180042E-2</v>
      </c>
      <c r="J56" s="10">
        <f t="shared" si="10"/>
        <v>0.10757699981405647</v>
      </c>
      <c r="K56" s="10">
        <f t="shared" si="10"/>
        <v>3.3473039868853444E-2</v>
      </c>
      <c r="L56" s="10">
        <f t="shared" si="17"/>
        <v>-0.20063935844211994</v>
      </c>
      <c r="M56" s="10">
        <f t="shared" si="11"/>
        <v>-1.5878547455819951E-2</v>
      </c>
      <c r="N56" s="10">
        <f t="shared" si="12"/>
        <v>3.7076999814056474E-2</v>
      </c>
      <c r="O56" s="10">
        <f t="shared" si="13"/>
        <v>-3.702696013114655E-2</v>
      </c>
      <c r="Y56" s="7">
        <f t="shared" si="3"/>
        <v>-0.13013935844211996</v>
      </c>
      <c r="Z56" s="7">
        <f t="shared" si="4"/>
        <v>5.4621452544180042E-2</v>
      </c>
      <c r="AA56" s="7">
        <f t="shared" si="5"/>
        <v>0.10757699981405647</v>
      </c>
      <c r="AB56" s="7">
        <f t="shared" si="6"/>
        <v>3.3473039868853444E-2</v>
      </c>
      <c r="AC56" s="7">
        <f t="shared" si="18"/>
        <v>-0.18103935844211996</v>
      </c>
      <c r="AD56" s="7">
        <f t="shared" si="14"/>
        <v>3.7214525441800414E-3</v>
      </c>
      <c r="AE56" s="7">
        <f t="shared" si="15"/>
        <v>5.6676999814056467E-2</v>
      </c>
      <c r="AF56" s="7">
        <f t="shared" si="16"/>
        <v>-1.7426960131146557E-2</v>
      </c>
    </row>
    <row r="57" spans="1:32" x14ac:dyDescent="0.3">
      <c r="A57" s="1">
        <v>36373</v>
      </c>
      <c r="B57">
        <f>AEP!F57</f>
        <v>12.429487999999999</v>
      </c>
      <c r="C57">
        <f>DFSVX!F57</f>
        <v>4.1117629999999998</v>
      </c>
      <c r="D57">
        <f>DFLVX!F57</f>
        <v>6.8041859999999996</v>
      </c>
      <c r="E57">
        <f>FSAGX!F57</f>
        <v>6.010726</v>
      </c>
      <c r="F57" s="5">
        <f>'FRED Graph'!B67</f>
        <v>5.2</v>
      </c>
      <c r="G57" s="9">
        <f t="shared" si="0"/>
        <v>5.2000000000000005E-2</v>
      </c>
      <c r="H57" s="10">
        <f t="shared" si="8"/>
        <v>-0.15271886537906898</v>
      </c>
      <c r="I57" s="10">
        <f t="shared" si="9"/>
        <v>0.25741372519278188</v>
      </c>
      <c r="J57" s="10">
        <f t="shared" si="10"/>
        <v>0.30585220360373877</v>
      </c>
      <c r="K57" s="10">
        <f t="shared" si="10"/>
        <v>0.46145139850813793</v>
      </c>
      <c r="L57" s="10">
        <f t="shared" si="17"/>
        <v>-0.22321886537906899</v>
      </c>
      <c r="M57" s="10">
        <f t="shared" si="11"/>
        <v>0.18691372519278188</v>
      </c>
      <c r="N57" s="10">
        <f t="shared" si="12"/>
        <v>0.23535220360373876</v>
      </c>
      <c r="O57" s="10">
        <f t="shared" si="13"/>
        <v>0.39095139850813793</v>
      </c>
      <c r="Y57" s="7">
        <f t="shared" si="3"/>
        <v>-0.15271886537906898</v>
      </c>
      <c r="Z57" s="7">
        <f t="shared" si="4"/>
        <v>0.25741372519278188</v>
      </c>
      <c r="AA57" s="7">
        <f t="shared" si="5"/>
        <v>0.30585220360373877</v>
      </c>
      <c r="AB57" s="7">
        <f t="shared" si="6"/>
        <v>0.46145139850813793</v>
      </c>
      <c r="AC57" s="7">
        <f t="shared" si="18"/>
        <v>-0.20361886537906898</v>
      </c>
      <c r="AD57" s="7">
        <f t="shared" si="14"/>
        <v>0.20651372519278188</v>
      </c>
      <c r="AE57" s="7">
        <f t="shared" si="15"/>
        <v>0.25495220360373877</v>
      </c>
      <c r="AF57" s="7">
        <f t="shared" si="16"/>
        <v>0.41055139850813793</v>
      </c>
    </row>
    <row r="58" spans="1:32" x14ac:dyDescent="0.3">
      <c r="A58" s="1">
        <v>36404</v>
      </c>
      <c r="B58">
        <f>AEP!F58</f>
        <v>11.874935000000001</v>
      </c>
      <c r="C58">
        <f>DFSVX!F58</f>
        <v>4.0021740000000001</v>
      </c>
      <c r="D58">
        <f>DFLVX!F58</f>
        <v>6.4129519999999998</v>
      </c>
      <c r="E58">
        <f>FSAGX!F58</f>
        <v>7.5682</v>
      </c>
      <c r="F58" s="5">
        <f>'FRED Graph'!B68</f>
        <v>5.25</v>
      </c>
      <c r="G58" s="9">
        <f t="shared" si="0"/>
        <v>5.2499999999999998E-2</v>
      </c>
      <c r="H58" s="10">
        <f t="shared" si="8"/>
        <v>-0.25986142660231532</v>
      </c>
      <c r="I58" s="10">
        <f t="shared" si="9"/>
        <v>0.19011798962661899</v>
      </c>
      <c r="J58" s="10">
        <f t="shared" si="10"/>
        <v>0.17619120283828635</v>
      </c>
      <c r="K58" s="10">
        <f t="shared" si="10"/>
        <v>0.18640374597710344</v>
      </c>
      <c r="L58" s="10">
        <f t="shared" si="17"/>
        <v>-0.33036142660231532</v>
      </c>
      <c r="M58" s="10">
        <f t="shared" si="11"/>
        <v>0.119617989626619</v>
      </c>
      <c r="N58" s="10">
        <f t="shared" si="12"/>
        <v>0.10569120283828635</v>
      </c>
      <c r="O58" s="10">
        <f t="shared" si="13"/>
        <v>0.11590374597710344</v>
      </c>
      <c r="Y58" s="7">
        <f t="shared" si="3"/>
        <v>-0.25986142660231532</v>
      </c>
      <c r="Z58" s="7">
        <f t="shared" si="4"/>
        <v>0.19011798962661899</v>
      </c>
      <c r="AA58" s="7">
        <f t="shared" si="5"/>
        <v>0.17619120283828635</v>
      </c>
      <c r="AB58" s="7">
        <f t="shared" si="6"/>
        <v>0.18640374597710344</v>
      </c>
      <c r="AC58" s="7">
        <f t="shared" si="18"/>
        <v>-0.31076142660231532</v>
      </c>
      <c r="AD58" s="7">
        <f t="shared" si="14"/>
        <v>0.13921798962661899</v>
      </c>
      <c r="AE58" s="7">
        <f t="shared" si="15"/>
        <v>0.12529120283828635</v>
      </c>
      <c r="AF58" s="7">
        <f t="shared" si="16"/>
        <v>0.13550374597710343</v>
      </c>
    </row>
    <row r="59" spans="1:32" x14ac:dyDescent="0.3">
      <c r="A59" s="1">
        <v>36434</v>
      </c>
      <c r="B59">
        <f>AEP!F59</f>
        <v>12.005425000000001</v>
      </c>
      <c r="C59">
        <f>DFSVX!F59</f>
        <v>3.8651879999999998</v>
      </c>
      <c r="D59">
        <f>DFLVX!F59</f>
        <v>6.683014</v>
      </c>
      <c r="E59">
        <f>FSAGX!F59</f>
        <v>6.929354</v>
      </c>
      <c r="F59" s="5">
        <f>'FRED Graph'!B69</f>
        <v>5.43</v>
      </c>
      <c r="G59" s="9">
        <f t="shared" si="0"/>
        <v>5.4299999999999994E-2</v>
      </c>
      <c r="H59" s="10">
        <f t="shared" si="8"/>
        <v>-0.25363945901127416</v>
      </c>
      <c r="I59" s="10">
        <f t="shared" si="9"/>
        <v>0.10246932560396836</v>
      </c>
      <c r="J59" s="10">
        <f t="shared" si="10"/>
        <v>0.12833610196908837</v>
      </c>
      <c r="K59" s="10">
        <f t="shared" si="10"/>
        <v>0.11981922202639264</v>
      </c>
      <c r="L59" s="10">
        <f t="shared" si="17"/>
        <v>-0.32413945901127417</v>
      </c>
      <c r="M59" s="10">
        <f t="shared" si="11"/>
        <v>3.1969325603968368E-2</v>
      </c>
      <c r="N59" s="10">
        <f t="shared" si="12"/>
        <v>5.783610196908838E-2</v>
      </c>
      <c r="O59" s="10">
        <f t="shared" si="13"/>
        <v>4.9319222026392648E-2</v>
      </c>
      <c r="Y59" s="7">
        <f t="shared" si="3"/>
        <v>-0.25363945901127416</v>
      </c>
      <c r="Z59" s="7">
        <f t="shared" si="4"/>
        <v>0.10246932560396836</v>
      </c>
      <c r="AA59" s="7">
        <f t="shared" si="5"/>
        <v>0.12833610196908837</v>
      </c>
      <c r="AB59" s="7">
        <f t="shared" si="6"/>
        <v>0.11981922202639264</v>
      </c>
      <c r="AC59" s="7">
        <f t="shared" si="18"/>
        <v>-0.30453945901127416</v>
      </c>
      <c r="AD59" s="7">
        <f t="shared" si="14"/>
        <v>5.1569325603968361E-2</v>
      </c>
      <c r="AE59" s="7">
        <f t="shared" si="15"/>
        <v>7.7436101969088372E-2</v>
      </c>
      <c r="AF59" s="7">
        <f t="shared" si="16"/>
        <v>6.891922202639264E-2</v>
      </c>
    </row>
    <row r="60" spans="1:32" x14ac:dyDescent="0.3">
      <c r="A60" s="1">
        <v>36465</v>
      </c>
      <c r="B60">
        <f>AEP!F60</f>
        <v>10.917973</v>
      </c>
      <c r="C60">
        <f>DFSVX!F60</f>
        <v>4.040108</v>
      </c>
      <c r="D60">
        <f>DFLVX!F60</f>
        <v>6.5782879999999997</v>
      </c>
      <c r="E60">
        <f>FSAGX!F60</f>
        <v>6.6542329999999996</v>
      </c>
      <c r="F60" s="5">
        <f>'FRED Graph'!B70</f>
        <v>5.55</v>
      </c>
      <c r="G60" s="9">
        <f t="shared" si="0"/>
        <v>5.5500000000000001E-2</v>
      </c>
      <c r="H60" s="10">
        <f t="shared" si="8"/>
        <v>-0.2837391793866475</v>
      </c>
      <c r="I60" s="10">
        <f t="shared" si="9"/>
        <v>9.4411903415855411E-2</v>
      </c>
      <c r="J60" s="10">
        <f t="shared" si="10"/>
        <v>4.5806813058372489E-2</v>
      </c>
      <c r="K60" s="10">
        <f t="shared" si="10"/>
        <v>9.8537546744817239E-2</v>
      </c>
      <c r="L60" s="10">
        <f t="shared" si="17"/>
        <v>-0.35423917938664751</v>
      </c>
      <c r="M60" s="10">
        <f t="shared" si="11"/>
        <v>2.3911903415855418E-2</v>
      </c>
      <c r="N60" s="10">
        <f t="shared" si="12"/>
        <v>-2.4693186941627504E-2</v>
      </c>
      <c r="O60" s="10">
        <f t="shared" si="13"/>
        <v>2.8037546744817246E-2</v>
      </c>
      <c r="Y60" s="7">
        <f t="shared" si="3"/>
        <v>-0.2837391793866475</v>
      </c>
      <c r="Z60" s="7">
        <f t="shared" si="4"/>
        <v>9.4411903415855411E-2</v>
      </c>
      <c r="AA60" s="7">
        <f t="shared" si="5"/>
        <v>4.5806813058372489E-2</v>
      </c>
      <c r="AB60" s="7">
        <f t="shared" si="6"/>
        <v>9.8537546744817239E-2</v>
      </c>
      <c r="AC60" s="7">
        <f t="shared" si="18"/>
        <v>-0.3346391793866475</v>
      </c>
      <c r="AD60" s="7">
        <f t="shared" si="14"/>
        <v>4.351190341585541E-2</v>
      </c>
      <c r="AE60" s="7">
        <f t="shared" si="15"/>
        <v>-5.0931869416275116E-3</v>
      </c>
      <c r="AF60" s="7">
        <f t="shared" si="16"/>
        <v>4.7637546744817238E-2</v>
      </c>
    </row>
    <row r="61" spans="1:32" x14ac:dyDescent="0.3">
      <c r="A61" s="1">
        <v>36495</v>
      </c>
      <c r="B61">
        <f>AEP!F61</f>
        <v>11.372888</v>
      </c>
      <c r="C61">
        <f>DFSVX!F61</f>
        <v>3.913659</v>
      </c>
      <c r="D61">
        <f>DFLVX!F61</f>
        <v>6.0382790000000002</v>
      </c>
      <c r="E61">
        <f>FSAGX!F61</f>
        <v>6.8920529999999998</v>
      </c>
      <c r="F61" s="5">
        <f>'FRED Graph'!B71</f>
        <v>5.84</v>
      </c>
      <c r="G61" s="9">
        <f t="shared" si="0"/>
        <v>5.8400000000000001E-2</v>
      </c>
      <c r="H61" s="10">
        <f t="shared" si="8"/>
        <v>-0.27355119687659074</v>
      </c>
      <c r="I61" s="10">
        <f t="shared" si="9"/>
        <v>0.12874658123515934</v>
      </c>
      <c r="J61" s="10">
        <f t="shared" si="10"/>
        <v>-1.8182300065917641E-2</v>
      </c>
      <c r="K61" s="10">
        <f t="shared" si="10"/>
        <v>8.3577930460679045E-2</v>
      </c>
      <c r="L61" s="10">
        <f t="shared" si="17"/>
        <v>-0.34405119687659075</v>
      </c>
      <c r="M61" s="10">
        <f t="shared" si="11"/>
        <v>5.8246581235159342E-2</v>
      </c>
      <c r="N61" s="10">
        <f t="shared" si="12"/>
        <v>-8.8682300065917638E-2</v>
      </c>
      <c r="O61" s="10">
        <f t="shared" si="13"/>
        <v>1.3077930460679052E-2</v>
      </c>
      <c r="Y61" s="7">
        <f t="shared" si="3"/>
        <v>-0.27355119687659074</v>
      </c>
      <c r="Z61" s="7">
        <f t="shared" si="4"/>
        <v>0.12874658123515934</v>
      </c>
      <c r="AA61" s="7">
        <f t="shared" si="5"/>
        <v>-1.8182300065917641E-2</v>
      </c>
      <c r="AB61" s="7">
        <f t="shared" si="6"/>
        <v>8.3577930460679045E-2</v>
      </c>
      <c r="AC61" s="7">
        <f t="shared" si="18"/>
        <v>-0.32445119687659074</v>
      </c>
      <c r="AD61" s="7">
        <f t="shared" si="14"/>
        <v>7.7846581235159334E-2</v>
      </c>
      <c r="AE61" s="7">
        <f t="shared" si="15"/>
        <v>-6.9082300065917646E-2</v>
      </c>
      <c r="AF61" s="7">
        <f t="shared" si="16"/>
        <v>3.2677930460679044E-2</v>
      </c>
    </row>
    <row r="62" spans="1:32" x14ac:dyDescent="0.3">
      <c r="A62" s="1">
        <v>36526</v>
      </c>
      <c r="B62">
        <f>AEP!F62</f>
        <v>11.859662</v>
      </c>
      <c r="C62">
        <f>DFSVX!F62</f>
        <v>4.2396739999999999</v>
      </c>
      <c r="D62">
        <f>DFLVX!F62</f>
        <v>6.221508</v>
      </c>
      <c r="E62">
        <f>FSAGX!F62</f>
        <v>6.0713460000000001</v>
      </c>
      <c r="F62" s="5">
        <f>'FRED Graph'!B72</f>
        <v>6.12</v>
      </c>
      <c r="G62" s="9">
        <f t="shared" si="0"/>
        <v>6.1200000000000004E-2</v>
      </c>
      <c r="H62" s="10">
        <f t="shared" si="8"/>
        <v>-0.18626443838570023</v>
      </c>
      <c r="I62" s="10">
        <f t="shared" si="9"/>
        <v>0.10471871021469149</v>
      </c>
      <c r="J62" s="10">
        <f t="shared" si="10"/>
        <v>-4.5503416330883964E-2</v>
      </c>
      <c r="K62" s="10">
        <f t="shared" si="10"/>
        <v>-1.809967264846167E-2</v>
      </c>
      <c r="L62" s="10">
        <f t="shared" si="17"/>
        <v>-0.25676443838570023</v>
      </c>
      <c r="M62" s="10">
        <f t="shared" si="11"/>
        <v>3.42187102146915E-2</v>
      </c>
      <c r="N62" s="10">
        <f t="shared" si="12"/>
        <v>-0.11600341633088396</v>
      </c>
      <c r="O62" s="10">
        <f t="shared" si="13"/>
        <v>-8.8599672648461664E-2</v>
      </c>
      <c r="Y62" s="7">
        <f t="shared" si="3"/>
        <v>-0.18626443838570023</v>
      </c>
      <c r="Z62" s="7">
        <f t="shared" si="4"/>
        <v>0.10471871021469149</v>
      </c>
      <c r="AA62" s="7">
        <f t="shared" si="5"/>
        <v>-4.5503416330883964E-2</v>
      </c>
      <c r="AB62" s="7">
        <f t="shared" si="6"/>
        <v>-1.809967264846167E-2</v>
      </c>
      <c r="AC62" s="7">
        <f t="shared" si="18"/>
        <v>-0.23716443838570023</v>
      </c>
      <c r="AD62" s="7">
        <f t="shared" si="14"/>
        <v>5.3818710214691493E-2</v>
      </c>
      <c r="AE62" s="7">
        <f t="shared" si="15"/>
        <v>-9.6403416330883965E-2</v>
      </c>
      <c r="AF62" s="7">
        <f t="shared" si="16"/>
        <v>-6.8999672648461671E-2</v>
      </c>
    </row>
    <row r="63" spans="1:32" x14ac:dyDescent="0.3">
      <c r="A63" s="1">
        <v>36557</v>
      </c>
      <c r="B63">
        <f>AEP!F63</f>
        <v>9.9568119999999993</v>
      </c>
      <c r="C63">
        <f>DFSVX!F63</f>
        <v>4.6330470000000004</v>
      </c>
      <c r="D63">
        <f>DFLVX!F63</f>
        <v>5.6628400000000001</v>
      </c>
      <c r="E63">
        <f>FSAGX!F63</f>
        <v>6.2718590000000001</v>
      </c>
      <c r="F63" s="5">
        <f>'FRED Graph'!B73</f>
        <v>6.22</v>
      </c>
      <c r="G63" s="9">
        <f t="shared" si="0"/>
        <v>6.2199999999999998E-2</v>
      </c>
      <c r="H63" s="10">
        <f t="shared" si="8"/>
        <v>-0.28092330122595616</v>
      </c>
      <c r="I63" s="10">
        <f t="shared" si="9"/>
        <v>0.31558611563864786</v>
      </c>
      <c r="J63" s="10">
        <f t="shared" si="10"/>
        <v>-0.10818748907447619</v>
      </c>
      <c r="K63" s="10">
        <f t="shared" si="10"/>
        <v>5.1602447109763694E-2</v>
      </c>
      <c r="L63" s="10">
        <f t="shared" si="17"/>
        <v>-0.35142330122595616</v>
      </c>
      <c r="M63" s="10">
        <f t="shared" si="11"/>
        <v>0.24508611563864785</v>
      </c>
      <c r="N63" s="10">
        <f t="shared" si="12"/>
        <v>-0.17868748907447618</v>
      </c>
      <c r="O63" s="10">
        <f t="shared" si="13"/>
        <v>-1.8897552890236299E-2</v>
      </c>
      <c r="Y63" s="7">
        <f t="shared" si="3"/>
        <v>-0.28092330122595616</v>
      </c>
      <c r="Z63" s="7">
        <f t="shared" si="4"/>
        <v>0.31558611563864786</v>
      </c>
      <c r="AA63" s="7">
        <f t="shared" si="5"/>
        <v>-0.10818748907447619</v>
      </c>
      <c r="AB63" s="7">
        <f t="shared" si="6"/>
        <v>5.1602447109763694E-2</v>
      </c>
      <c r="AC63" s="7">
        <f t="shared" si="18"/>
        <v>-0.33182330122595616</v>
      </c>
      <c r="AD63" s="7">
        <f t="shared" si="14"/>
        <v>0.26468611563864786</v>
      </c>
      <c r="AE63" s="7">
        <f t="shared" si="15"/>
        <v>-0.15908748907447617</v>
      </c>
      <c r="AF63" s="7">
        <f t="shared" si="16"/>
        <v>7.0244710976369307E-4</v>
      </c>
    </row>
    <row r="64" spans="1:32" x14ac:dyDescent="0.3">
      <c r="A64" s="1">
        <v>36586</v>
      </c>
      <c r="B64">
        <f>AEP!F64</f>
        <v>10.745608000000001</v>
      </c>
      <c r="C64">
        <f>DFSVX!F64</f>
        <v>4.6468480000000003</v>
      </c>
      <c r="D64">
        <f>DFLVX!F64</f>
        <v>6.439165</v>
      </c>
      <c r="E64">
        <f>FSAGX!F64</f>
        <v>5.8195379999999997</v>
      </c>
      <c r="F64" s="5">
        <f>'FRED Graph'!B74</f>
        <v>6.22</v>
      </c>
      <c r="G64" s="9">
        <f t="shared" si="0"/>
        <v>6.2199999999999998E-2</v>
      </c>
      <c r="H64" s="10">
        <f t="shared" si="8"/>
        <v>-0.19749516153183483</v>
      </c>
      <c r="I64" s="10">
        <f t="shared" si="9"/>
        <v>0.34526694883360076</v>
      </c>
      <c r="J64" s="10">
        <f t="shared" si="10"/>
        <v>-1.5045298495271345E-2</v>
      </c>
      <c r="K64" s="10">
        <f t="shared" si="10"/>
        <v>-2.5761284865071527E-2</v>
      </c>
      <c r="L64" s="10">
        <f t="shared" si="17"/>
        <v>-0.26799516153183484</v>
      </c>
      <c r="M64" s="10">
        <f t="shared" si="11"/>
        <v>0.27476694883360075</v>
      </c>
      <c r="N64" s="10">
        <f t="shared" si="12"/>
        <v>-8.5545298495271344E-2</v>
      </c>
      <c r="O64" s="10">
        <f t="shared" si="13"/>
        <v>-9.6261284865071517E-2</v>
      </c>
      <c r="Y64" s="7">
        <f t="shared" si="3"/>
        <v>-0.19749516153183483</v>
      </c>
      <c r="Z64" s="7">
        <f t="shared" si="4"/>
        <v>0.34526694883360076</v>
      </c>
      <c r="AA64" s="7">
        <f t="shared" si="5"/>
        <v>-1.5045298495271345E-2</v>
      </c>
      <c r="AB64" s="7">
        <f t="shared" si="6"/>
        <v>-2.5761284865071527E-2</v>
      </c>
      <c r="AC64" s="7">
        <f t="shared" si="18"/>
        <v>-0.24839516153183483</v>
      </c>
      <c r="AD64" s="7">
        <f t="shared" si="14"/>
        <v>0.29436694883360076</v>
      </c>
      <c r="AE64" s="7">
        <f t="shared" si="15"/>
        <v>-6.5945298495271351E-2</v>
      </c>
      <c r="AF64" s="7">
        <f t="shared" si="16"/>
        <v>-7.6661284865071525E-2</v>
      </c>
    </row>
    <row r="65" spans="1:32" x14ac:dyDescent="0.3">
      <c r="A65" s="1">
        <v>36617</v>
      </c>
      <c r="B65">
        <f>AEP!F65</f>
        <v>13.201097000000001</v>
      </c>
      <c r="C65">
        <f>DFSVX!F65</f>
        <v>4.4835180000000001</v>
      </c>
      <c r="D65">
        <f>DFLVX!F65</f>
        <v>6.6567910000000001</v>
      </c>
      <c r="E65">
        <f>FSAGX!F65</f>
        <v>5.4185140000000001</v>
      </c>
      <c r="F65" s="5">
        <f>'FRED Graph'!B75</f>
        <v>6.15</v>
      </c>
      <c r="G65" s="9">
        <f t="shared" si="0"/>
        <v>6.1500000000000006E-2</v>
      </c>
      <c r="H65" s="10">
        <f t="shared" si="8"/>
        <v>-5.5749631361671131E-2</v>
      </c>
      <c r="I65" s="10">
        <f t="shared" si="9"/>
        <v>0.17276374065010111</v>
      </c>
      <c r="J65" s="10">
        <f t="shared" si="10"/>
        <v>-8.2185512166766464E-2</v>
      </c>
      <c r="K65" s="10">
        <f t="shared" si="10"/>
        <v>-0.2153948160443345</v>
      </c>
      <c r="L65" s="10">
        <f t="shared" si="17"/>
        <v>-0.12624963136167111</v>
      </c>
      <c r="M65" s="10">
        <f t="shared" si="11"/>
        <v>0.10226374065010112</v>
      </c>
      <c r="N65" s="10">
        <f t="shared" si="12"/>
        <v>-0.15268551216676646</v>
      </c>
      <c r="O65" s="10">
        <f t="shared" si="13"/>
        <v>-0.28589481604433448</v>
      </c>
      <c r="Y65" s="7">
        <f t="shared" si="3"/>
        <v>-5.5749631361671131E-2</v>
      </c>
      <c r="Z65" s="7">
        <f t="shared" si="4"/>
        <v>0.17276374065010111</v>
      </c>
      <c r="AA65" s="7">
        <f t="shared" si="5"/>
        <v>-8.2185512166766464E-2</v>
      </c>
      <c r="AB65" s="7">
        <f t="shared" si="6"/>
        <v>-0.2153948160443345</v>
      </c>
      <c r="AC65" s="7">
        <f t="shared" si="18"/>
        <v>-0.10664963136167113</v>
      </c>
      <c r="AD65" s="7">
        <f t="shared" si="14"/>
        <v>0.12186374065010111</v>
      </c>
      <c r="AE65" s="7">
        <f t="shared" si="15"/>
        <v>-0.13308551216676645</v>
      </c>
      <c r="AF65" s="7">
        <f t="shared" si="16"/>
        <v>-0.26629481604433447</v>
      </c>
    </row>
    <row r="66" spans="1:32" x14ac:dyDescent="0.3">
      <c r="A66" s="1">
        <v>36647</v>
      </c>
      <c r="B66">
        <f>AEP!F66</f>
        <v>12.818134000000001</v>
      </c>
      <c r="C66">
        <f>DFSVX!F66</f>
        <v>4.2971849999999998</v>
      </c>
      <c r="D66">
        <f>DFLVX!F66</f>
        <v>6.6422239999999997</v>
      </c>
      <c r="E66">
        <f>FSAGX!F66</f>
        <v>5.5343080000000002</v>
      </c>
      <c r="F66" s="5">
        <f>'FRED Graph'!B76</f>
        <v>6.33</v>
      </c>
      <c r="G66" s="9">
        <f t="shared" si="0"/>
        <v>6.3299999999999995E-2</v>
      </c>
      <c r="H66" s="10">
        <f t="shared" si="8"/>
        <v>-0.12409732845644643</v>
      </c>
      <c r="I66" s="10">
        <f t="shared" si="9"/>
        <v>7.3712687154531428E-2</v>
      </c>
      <c r="J66" s="10">
        <f t="shared" si="10"/>
        <v>-8.296270647484924E-2</v>
      </c>
      <c r="K66" s="10">
        <f t="shared" si="10"/>
        <v>-5.2807250156729879E-2</v>
      </c>
      <c r="L66" s="10">
        <f t="shared" si="17"/>
        <v>-0.19459732845644642</v>
      </c>
      <c r="M66" s="10">
        <f t="shared" si="11"/>
        <v>3.2126871545314351E-3</v>
      </c>
      <c r="N66" s="10">
        <f t="shared" si="12"/>
        <v>-0.15346270647484922</v>
      </c>
      <c r="O66" s="10">
        <f t="shared" si="13"/>
        <v>-0.12330725015672987</v>
      </c>
      <c r="Y66" s="7">
        <f t="shared" si="3"/>
        <v>-0.12409732845644643</v>
      </c>
      <c r="Z66" s="7">
        <f t="shared" si="4"/>
        <v>7.3712687154531428E-2</v>
      </c>
      <c r="AA66" s="7">
        <f t="shared" si="5"/>
        <v>-8.296270647484924E-2</v>
      </c>
      <c r="AB66" s="7">
        <f t="shared" si="6"/>
        <v>-5.2807250156729879E-2</v>
      </c>
      <c r="AC66" s="7">
        <f t="shared" si="18"/>
        <v>-0.17499732845644644</v>
      </c>
      <c r="AD66" s="7">
        <f t="shared" si="14"/>
        <v>2.2812687154531427E-2</v>
      </c>
      <c r="AE66" s="7">
        <f t="shared" si="15"/>
        <v>-0.13386270647484924</v>
      </c>
      <c r="AF66" s="7">
        <f t="shared" si="16"/>
        <v>-0.10370725015672988</v>
      </c>
    </row>
    <row r="67" spans="1:32" x14ac:dyDescent="0.3">
      <c r="A67" s="1">
        <v>36678</v>
      </c>
      <c r="B67">
        <f>AEP!F67</f>
        <v>10.866325</v>
      </c>
      <c r="C67">
        <f>DFSVX!F67</f>
        <v>4.5111239999999997</v>
      </c>
      <c r="D67">
        <f>DFLVX!F67</f>
        <v>6.1506129999999999</v>
      </c>
      <c r="E67">
        <f>FSAGX!F67</f>
        <v>5.9409710000000002</v>
      </c>
      <c r="F67" s="5">
        <f>'FRED Graph'!B77</f>
        <v>6.17</v>
      </c>
      <c r="G67" s="9">
        <f t="shared" ref="G67:G130" si="19">F67/100</f>
        <v>6.1699999999999998E-2</v>
      </c>
      <c r="H67" s="10">
        <f t="shared" si="8"/>
        <v>-0.15485553097300392</v>
      </c>
      <c r="I67" s="10">
        <f t="shared" si="9"/>
        <v>6.2279767270343317E-2</v>
      </c>
      <c r="J67" s="10">
        <f t="shared" si="10"/>
        <v>-0.1609851698787956</v>
      </c>
      <c r="K67" s="10">
        <f t="shared" si="10"/>
        <v>-2.9671360612860014E-2</v>
      </c>
      <c r="L67" s="10">
        <f t="shared" si="17"/>
        <v>-0.22535553097300393</v>
      </c>
      <c r="M67" s="10">
        <f t="shared" si="11"/>
        <v>-8.2202327296566763E-3</v>
      </c>
      <c r="N67" s="10">
        <f t="shared" si="12"/>
        <v>-0.23148516987879558</v>
      </c>
      <c r="O67" s="10">
        <f t="shared" si="13"/>
        <v>-0.10017136061286</v>
      </c>
      <c r="Y67" s="7">
        <f t="shared" si="3"/>
        <v>-0.15485553097300392</v>
      </c>
      <c r="Z67" s="7">
        <f t="shared" si="4"/>
        <v>6.2279767270343317E-2</v>
      </c>
      <c r="AA67" s="7">
        <f t="shared" si="5"/>
        <v>-0.1609851698787956</v>
      </c>
      <c r="AB67" s="7">
        <f t="shared" si="6"/>
        <v>-2.9671360612860014E-2</v>
      </c>
      <c r="AC67" s="7">
        <f t="shared" si="18"/>
        <v>-0.20575553097300392</v>
      </c>
      <c r="AD67" s="7">
        <f t="shared" si="14"/>
        <v>1.1379767270343316E-2</v>
      </c>
      <c r="AE67" s="7">
        <f t="shared" si="15"/>
        <v>-0.2118851698787956</v>
      </c>
      <c r="AF67" s="7">
        <f t="shared" si="16"/>
        <v>-8.0571360612860021E-2</v>
      </c>
    </row>
    <row r="68" spans="1:32" x14ac:dyDescent="0.3">
      <c r="A68" s="1">
        <v>36708</v>
      </c>
      <c r="B68">
        <f>AEP!F68</f>
        <v>12.035482</v>
      </c>
      <c r="C68">
        <f>DFSVX!F68</f>
        <v>4.5065229999999996</v>
      </c>
      <c r="D68">
        <f>DFLVX!F68</f>
        <v>6.4505720000000002</v>
      </c>
      <c r="E68">
        <f>FSAGX!F68</f>
        <v>5.5717049999999997</v>
      </c>
      <c r="F68" s="5">
        <f>'FRED Graph'!B78</f>
        <v>6.08</v>
      </c>
      <c r="G68" s="9">
        <f t="shared" si="19"/>
        <v>6.08E-2</v>
      </c>
      <c r="H68" s="10">
        <f t="shared" si="8"/>
        <v>-6.0375330302756382E-3</v>
      </c>
      <c r="I68" s="10">
        <f t="shared" si="9"/>
        <v>6.5956505695795156E-2</v>
      </c>
      <c r="J68" s="10">
        <f t="shared" si="10"/>
        <v>-8.6124879807743346E-2</v>
      </c>
      <c r="K68" s="10">
        <f t="shared" si="10"/>
        <v>-3.2508699547831907E-2</v>
      </c>
      <c r="L68" s="10">
        <f t="shared" si="17"/>
        <v>-7.6537533030275634E-2</v>
      </c>
      <c r="M68" s="10">
        <f t="shared" si="11"/>
        <v>-4.543494304204837E-3</v>
      </c>
      <c r="N68" s="10">
        <f t="shared" si="12"/>
        <v>-0.15662487980774334</v>
      </c>
      <c r="O68" s="10">
        <f t="shared" si="13"/>
        <v>-0.1030086995478319</v>
      </c>
      <c r="Y68" s="7">
        <f t="shared" si="3"/>
        <v>-6.0375330302756382E-3</v>
      </c>
      <c r="Z68" s="7">
        <f t="shared" si="4"/>
        <v>6.5956505695795156E-2</v>
      </c>
      <c r="AA68" s="7">
        <f t="shared" si="5"/>
        <v>-8.6124879807743346E-2</v>
      </c>
      <c r="AB68" s="7">
        <f t="shared" si="6"/>
        <v>-3.2508699547831907E-2</v>
      </c>
      <c r="AC68" s="7">
        <f t="shared" si="18"/>
        <v>-5.6937533030275642E-2</v>
      </c>
      <c r="AD68" s="7">
        <f t="shared" si="14"/>
        <v>1.5056505695795155E-2</v>
      </c>
      <c r="AE68" s="7">
        <f t="shared" si="15"/>
        <v>-0.13702487980774336</v>
      </c>
      <c r="AF68" s="7">
        <f t="shared" si="16"/>
        <v>-8.3408699547831908E-2</v>
      </c>
    </row>
    <row r="69" spans="1:32" x14ac:dyDescent="0.3">
      <c r="A69" s="1">
        <v>36739</v>
      </c>
      <c r="B69">
        <f>AEP!F69</f>
        <v>12.889435000000001</v>
      </c>
      <c r="C69">
        <f>DFSVX!F69</f>
        <v>4.8400829999999999</v>
      </c>
      <c r="D69">
        <f>DFLVX!F69</f>
        <v>6.8274350000000004</v>
      </c>
      <c r="E69">
        <f>FSAGX!F69</f>
        <v>5.8287870000000002</v>
      </c>
      <c r="F69" s="5">
        <f>'FRED Graph'!B79</f>
        <v>6.18</v>
      </c>
      <c r="G69" s="9">
        <f t="shared" si="19"/>
        <v>6.1799999999999994E-2</v>
      </c>
      <c r="H69" s="10">
        <f t="shared" si="8"/>
        <v>3.7004500909450289E-2</v>
      </c>
      <c r="I69" s="10">
        <f t="shared" si="9"/>
        <v>0.17713083171379287</v>
      </c>
      <c r="J69" s="10">
        <f t="shared" si="10"/>
        <v>3.4168672049824538E-3</v>
      </c>
      <c r="K69" s="10">
        <f t="shared" si="10"/>
        <v>-3.0269055684787469E-2</v>
      </c>
      <c r="L69" s="10">
        <f t="shared" si="17"/>
        <v>-3.3495499090549705E-2</v>
      </c>
      <c r="M69" s="10">
        <f t="shared" si="11"/>
        <v>0.10663083171379288</v>
      </c>
      <c r="N69" s="10">
        <f t="shared" si="12"/>
        <v>-6.7083132795017542E-2</v>
      </c>
      <c r="O69" s="10">
        <f t="shared" si="13"/>
        <v>-0.10076905568478746</v>
      </c>
      <c r="Y69" s="7">
        <f t="shared" si="3"/>
        <v>3.7004500909450289E-2</v>
      </c>
      <c r="Z69" s="7">
        <f t="shared" si="4"/>
        <v>0.17713083171379287</v>
      </c>
      <c r="AA69" s="7">
        <f t="shared" si="5"/>
        <v>3.4168672049824538E-3</v>
      </c>
      <c r="AB69" s="7">
        <f t="shared" si="6"/>
        <v>-3.0269055684787469E-2</v>
      </c>
      <c r="AC69" s="7">
        <f t="shared" si="18"/>
        <v>-1.3895499090549712E-2</v>
      </c>
      <c r="AD69" s="7">
        <f t="shared" si="14"/>
        <v>0.12623083171379287</v>
      </c>
      <c r="AE69" s="7">
        <f t="shared" si="15"/>
        <v>-4.7483132795017549E-2</v>
      </c>
      <c r="AF69" s="7">
        <f t="shared" si="16"/>
        <v>-8.1169055684787467E-2</v>
      </c>
    </row>
    <row r="70" spans="1:32" x14ac:dyDescent="0.3">
      <c r="A70" s="1">
        <v>36770</v>
      </c>
      <c r="B70">
        <f>AEP!F70</f>
        <v>14.606567999999999</v>
      </c>
      <c r="C70">
        <f>DFSVX!F70</f>
        <v>4.7503669999999998</v>
      </c>
      <c r="D70">
        <f>DFLVX!F70</f>
        <v>6.6810809999999998</v>
      </c>
      <c r="E70">
        <f>FSAGX!F70</f>
        <v>5.4875670000000003</v>
      </c>
      <c r="F70" s="5">
        <f>'FRED Graph'!B80</f>
        <v>6.13</v>
      </c>
      <c r="G70" s="9">
        <f t="shared" si="19"/>
        <v>6.13E-2</v>
      </c>
      <c r="H70" s="10">
        <f t="shared" si="8"/>
        <v>0.23003351176238004</v>
      </c>
      <c r="I70" s="10">
        <f t="shared" si="9"/>
        <v>0.18694664449871487</v>
      </c>
      <c r="J70" s="10">
        <f t="shared" si="10"/>
        <v>4.1810542165293001E-2</v>
      </c>
      <c r="K70" s="10">
        <f t="shared" si="10"/>
        <v>-0.27491781401125759</v>
      </c>
      <c r="L70" s="10">
        <f t="shared" si="17"/>
        <v>0.15953351176238006</v>
      </c>
      <c r="M70" s="10">
        <f t="shared" si="11"/>
        <v>0.11644664449871488</v>
      </c>
      <c r="N70" s="10">
        <f t="shared" si="12"/>
        <v>-2.8689457834706993E-2</v>
      </c>
      <c r="O70" s="10">
        <f t="shared" si="13"/>
        <v>-0.3454178140112576</v>
      </c>
      <c r="Y70" s="7">
        <f t="shared" si="3"/>
        <v>0.23003351176238004</v>
      </c>
      <c r="Z70" s="7">
        <f t="shared" si="4"/>
        <v>0.18694664449871487</v>
      </c>
      <c r="AA70" s="7">
        <f t="shared" si="5"/>
        <v>4.1810542165293001E-2</v>
      </c>
      <c r="AB70" s="7">
        <f t="shared" si="6"/>
        <v>-0.27491781401125759</v>
      </c>
      <c r="AC70" s="7">
        <f t="shared" si="18"/>
        <v>0.17913351176238004</v>
      </c>
      <c r="AD70" s="7">
        <f t="shared" si="14"/>
        <v>0.13604664449871487</v>
      </c>
      <c r="AE70" s="7">
        <f t="shared" si="15"/>
        <v>-9.0894578347070001E-3</v>
      </c>
      <c r="AF70" s="7">
        <f t="shared" si="16"/>
        <v>-0.32581781401125759</v>
      </c>
    </row>
    <row r="71" spans="1:32" x14ac:dyDescent="0.3">
      <c r="A71" s="1">
        <v>36800</v>
      </c>
      <c r="B71">
        <f>AEP!F71</f>
        <v>15.487034</v>
      </c>
      <c r="C71">
        <f>DFSVX!F71</f>
        <v>4.5709359999999997</v>
      </c>
      <c r="D71">
        <f>DFLVX!F71</f>
        <v>6.9819019999999998</v>
      </c>
      <c r="E71">
        <f>FSAGX!F71</f>
        <v>4.8845890000000001</v>
      </c>
      <c r="F71" s="5">
        <f>'FRED Graph'!B81</f>
        <v>6.01</v>
      </c>
      <c r="G71" s="9">
        <f t="shared" si="19"/>
        <v>6.0100000000000001E-2</v>
      </c>
      <c r="H71" s="10">
        <f t="shared" si="8"/>
        <v>0.29000297782044354</v>
      </c>
      <c r="I71" s="10">
        <f t="shared" si="9"/>
        <v>0.18259085974602007</v>
      </c>
      <c r="J71" s="10">
        <f t="shared" si="10"/>
        <v>4.4723533423691737E-2</v>
      </c>
      <c r="K71" s="10">
        <f t="shared" si="10"/>
        <v>-0.29508739198488054</v>
      </c>
      <c r="L71" s="10">
        <f t="shared" si="17"/>
        <v>0.21950297782044353</v>
      </c>
      <c r="M71" s="10">
        <f t="shared" si="11"/>
        <v>0.11209085974602008</v>
      </c>
      <c r="N71" s="10">
        <f t="shared" si="12"/>
        <v>-2.5776466576308256E-2</v>
      </c>
      <c r="O71" s="10">
        <f t="shared" si="13"/>
        <v>-0.36558739198488055</v>
      </c>
      <c r="Y71" s="7">
        <f t="shared" si="3"/>
        <v>0.29000297782044354</v>
      </c>
      <c r="Z71" s="7">
        <f t="shared" si="4"/>
        <v>0.18259085974602007</v>
      </c>
      <c r="AA71" s="7">
        <f t="shared" si="5"/>
        <v>4.4723533423691737E-2</v>
      </c>
      <c r="AB71" s="7">
        <f t="shared" si="6"/>
        <v>-0.29508739198488054</v>
      </c>
      <c r="AC71" s="7">
        <f t="shared" si="18"/>
        <v>0.23910297782044354</v>
      </c>
      <c r="AD71" s="7">
        <f t="shared" si="14"/>
        <v>0.13169085974602007</v>
      </c>
      <c r="AE71" s="7">
        <f t="shared" si="15"/>
        <v>-6.1764665763082635E-3</v>
      </c>
      <c r="AF71" s="7">
        <f t="shared" si="16"/>
        <v>-0.34598739198488054</v>
      </c>
    </row>
    <row r="72" spans="1:32" x14ac:dyDescent="0.3">
      <c r="A72" s="1">
        <v>36831</v>
      </c>
      <c r="B72">
        <f>AEP!F72</f>
        <v>17.166350999999999</v>
      </c>
      <c r="C72">
        <f>DFSVX!F72</f>
        <v>4.3224900000000002</v>
      </c>
      <c r="D72">
        <f>DFLVX!F72</f>
        <v>6.7538299999999998</v>
      </c>
      <c r="E72">
        <f>FSAGX!F72</f>
        <v>5.0855819999999996</v>
      </c>
      <c r="F72" s="5">
        <f>'FRED Graph'!B82</f>
        <v>6.09</v>
      </c>
      <c r="G72" s="9">
        <f t="shared" si="19"/>
        <v>6.0899999999999996E-2</v>
      </c>
      <c r="H72" s="10">
        <f t="shared" si="8"/>
        <v>0.57230201979799722</v>
      </c>
      <c r="I72" s="10">
        <f t="shared" si="9"/>
        <v>6.9894666182191201E-2</v>
      </c>
      <c r="J72" s="10">
        <f t="shared" si="10"/>
        <v>2.6685058483301445E-2</v>
      </c>
      <c r="K72" s="10">
        <f t="shared" si="10"/>
        <v>-0.23573731187350971</v>
      </c>
      <c r="L72" s="10">
        <f t="shared" si="17"/>
        <v>0.50180201979799721</v>
      </c>
      <c r="M72" s="10">
        <f t="shared" si="11"/>
        <v>-6.0533381780879247E-4</v>
      </c>
      <c r="N72" s="10">
        <f t="shared" si="12"/>
        <v>-4.3814941516698548E-2</v>
      </c>
      <c r="O72" s="10">
        <f t="shared" si="13"/>
        <v>-0.30623731187350972</v>
      </c>
      <c r="Y72" s="7">
        <f t="shared" si="3"/>
        <v>0.57230201979799722</v>
      </c>
      <c r="Z72" s="7">
        <f t="shared" si="4"/>
        <v>6.9894666182191201E-2</v>
      </c>
      <c r="AA72" s="7">
        <f t="shared" si="5"/>
        <v>2.6685058483301445E-2</v>
      </c>
      <c r="AB72" s="7">
        <f t="shared" si="6"/>
        <v>-0.23573731187350971</v>
      </c>
      <c r="AC72" s="7">
        <f t="shared" si="18"/>
        <v>0.52140201979799716</v>
      </c>
      <c r="AD72" s="7">
        <f t="shared" si="14"/>
        <v>1.89946661821912E-2</v>
      </c>
      <c r="AE72" s="7">
        <f t="shared" si="15"/>
        <v>-2.4214941516698556E-2</v>
      </c>
      <c r="AF72" s="7">
        <f t="shared" si="16"/>
        <v>-0.28663731187350971</v>
      </c>
    </row>
    <row r="73" spans="1:32" x14ac:dyDescent="0.3">
      <c r="A73" s="1">
        <v>36861</v>
      </c>
      <c r="B73">
        <f>AEP!F73</f>
        <v>17.611066999999998</v>
      </c>
      <c r="C73">
        <f>DFSVX!F73</f>
        <v>4.2373750000000001</v>
      </c>
      <c r="D73">
        <f>DFLVX!F73</f>
        <v>6.2130809999999999</v>
      </c>
      <c r="E73">
        <f>FSAGX!F73</f>
        <v>5.6277949999999999</v>
      </c>
      <c r="F73" s="5">
        <f>'FRED Graph'!B83</f>
        <v>5.6</v>
      </c>
      <c r="G73" s="9">
        <f t="shared" si="19"/>
        <v>5.5999999999999994E-2</v>
      </c>
      <c r="H73" s="10">
        <f t="shared" si="8"/>
        <v>0.54851318328290921</v>
      </c>
      <c r="I73" s="10">
        <f t="shared" si="9"/>
        <v>8.2714411245333366E-2</v>
      </c>
      <c r="J73" s="10">
        <f t="shared" si="10"/>
        <v>2.8948977018120506E-2</v>
      </c>
      <c r="K73" s="10">
        <f t="shared" si="10"/>
        <v>-0.18343706875150262</v>
      </c>
      <c r="L73" s="10">
        <f t="shared" si="17"/>
        <v>0.4780131832829092</v>
      </c>
      <c r="M73" s="10">
        <f t="shared" si="11"/>
        <v>1.2214411245333373E-2</v>
      </c>
      <c r="N73" s="10">
        <f t="shared" si="12"/>
        <v>-4.1551022981879487E-2</v>
      </c>
      <c r="O73" s="10">
        <f t="shared" si="13"/>
        <v>-0.25393706875150263</v>
      </c>
      <c r="Y73" s="7">
        <f t="shared" si="3"/>
        <v>0.54851318328290921</v>
      </c>
      <c r="Z73" s="7">
        <f t="shared" si="4"/>
        <v>8.2714411245333366E-2</v>
      </c>
      <c r="AA73" s="7">
        <f t="shared" si="5"/>
        <v>2.8948977018120506E-2</v>
      </c>
      <c r="AB73" s="7">
        <f t="shared" si="6"/>
        <v>-0.18343706875150262</v>
      </c>
      <c r="AC73" s="7">
        <f t="shared" si="18"/>
        <v>0.49761318328290921</v>
      </c>
      <c r="AD73" s="7">
        <f t="shared" si="14"/>
        <v>3.1814411245333366E-2</v>
      </c>
      <c r="AE73" s="7">
        <f t="shared" si="15"/>
        <v>-2.1951022981879495E-2</v>
      </c>
      <c r="AF73" s="7">
        <f t="shared" si="16"/>
        <v>-0.23433706875150262</v>
      </c>
    </row>
    <row r="74" spans="1:32" x14ac:dyDescent="0.3">
      <c r="A74" s="1">
        <v>36892</v>
      </c>
      <c r="B74">
        <f>AEP!F74</f>
        <v>16.380184</v>
      </c>
      <c r="C74">
        <f>DFSVX!F74</f>
        <v>5.1413900000000003</v>
      </c>
      <c r="D74">
        <f>DFLVX!F74</f>
        <v>7.7644950000000001</v>
      </c>
      <c r="E74">
        <f>FSAGX!F74</f>
        <v>5.5958920000000001</v>
      </c>
      <c r="F74" s="5">
        <f>'FRED Graph'!B84</f>
        <v>4.8099999999999996</v>
      </c>
      <c r="G74" s="9">
        <f t="shared" si="19"/>
        <v>4.8099999999999997E-2</v>
      </c>
      <c r="H74" s="10">
        <f t="shared" si="8"/>
        <v>0.3811678612763163</v>
      </c>
      <c r="I74" s="10">
        <f t="shared" si="9"/>
        <v>0.21268522060894315</v>
      </c>
      <c r="J74" s="10">
        <f t="shared" si="10"/>
        <v>0.24800852140670721</v>
      </c>
      <c r="K74" s="10">
        <f t="shared" si="10"/>
        <v>-7.8311135619679728E-2</v>
      </c>
      <c r="L74" s="10">
        <f t="shared" si="17"/>
        <v>0.31066786127631629</v>
      </c>
      <c r="M74" s="10">
        <f t="shared" si="11"/>
        <v>0.14218522060894317</v>
      </c>
      <c r="N74" s="10">
        <f t="shared" si="12"/>
        <v>0.1775085214067072</v>
      </c>
      <c r="O74" s="10">
        <f t="shared" si="13"/>
        <v>-0.14881113561967974</v>
      </c>
      <c r="Y74" s="7">
        <f t="shared" si="3"/>
        <v>0.3811678612763163</v>
      </c>
      <c r="Z74" s="7">
        <f t="shared" si="4"/>
        <v>0.21268522060894315</v>
      </c>
      <c r="AA74" s="7">
        <f t="shared" si="5"/>
        <v>0.24800852140670721</v>
      </c>
      <c r="AB74" s="7">
        <f t="shared" si="6"/>
        <v>-7.8311135619679728E-2</v>
      </c>
      <c r="AC74" s="7">
        <f t="shared" si="18"/>
        <v>0.3302678612763163</v>
      </c>
      <c r="AD74" s="7">
        <f t="shared" si="14"/>
        <v>0.16178522060894315</v>
      </c>
      <c r="AE74" s="7">
        <f t="shared" si="15"/>
        <v>0.1971085214067072</v>
      </c>
      <c r="AF74" s="7">
        <f t="shared" si="16"/>
        <v>-0.12921113561967973</v>
      </c>
    </row>
    <row r="75" spans="1:32" x14ac:dyDescent="0.3">
      <c r="A75" s="1">
        <v>36923</v>
      </c>
      <c r="B75">
        <f>AEP!F75</f>
        <v>18.004943999999998</v>
      </c>
      <c r="C75">
        <f>DFSVX!F75</f>
        <v>5.0427119999999999</v>
      </c>
      <c r="D75">
        <f>DFLVX!F75</f>
        <v>7.7601209999999998</v>
      </c>
      <c r="E75">
        <f>FSAGX!F75</f>
        <v>5.8069699999999997</v>
      </c>
      <c r="F75" s="5">
        <f>'FRED Graph'!B85</f>
        <v>4.68</v>
      </c>
      <c r="G75" s="9">
        <f t="shared" si="19"/>
        <v>4.6799999999999994E-2</v>
      </c>
      <c r="H75" s="10">
        <f t="shared" si="8"/>
        <v>0.80830410376333306</v>
      </c>
      <c r="I75" s="10">
        <f t="shared" si="9"/>
        <v>8.8422370850112134E-2</v>
      </c>
      <c r="J75" s="10">
        <f t="shared" si="10"/>
        <v>0.37035851268974573</v>
      </c>
      <c r="K75" s="10">
        <f t="shared" si="10"/>
        <v>-7.4122999257476979E-2</v>
      </c>
      <c r="L75" s="10">
        <f t="shared" si="17"/>
        <v>0.73780410376333305</v>
      </c>
      <c r="M75" s="10">
        <f t="shared" si="11"/>
        <v>1.792237085011214E-2</v>
      </c>
      <c r="N75" s="10">
        <f t="shared" si="12"/>
        <v>0.29985851268974573</v>
      </c>
      <c r="O75" s="10">
        <f t="shared" si="13"/>
        <v>-0.14462299925747696</v>
      </c>
      <c r="Y75" s="7">
        <f t="shared" si="3"/>
        <v>0.80830410376333306</v>
      </c>
      <c r="Z75" s="7">
        <f t="shared" si="4"/>
        <v>8.8422370850112134E-2</v>
      </c>
      <c r="AA75" s="7">
        <f t="shared" si="5"/>
        <v>0.37035851268974573</v>
      </c>
      <c r="AB75" s="7">
        <f t="shared" si="6"/>
        <v>-7.4122999257476979E-2</v>
      </c>
      <c r="AC75" s="7">
        <f t="shared" si="18"/>
        <v>0.757404103763333</v>
      </c>
      <c r="AD75" s="7">
        <f t="shared" si="14"/>
        <v>3.7522370850112133E-2</v>
      </c>
      <c r="AE75" s="7">
        <f t="shared" si="15"/>
        <v>0.31945851268974573</v>
      </c>
      <c r="AF75" s="7">
        <f t="shared" si="16"/>
        <v>-0.12502299925747698</v>
      </c>
    </row>
    <row r="76" spans="1:32" x14ac:dyDescent="0.3">
      <c r="A76" s="1">
        <v>36951</v>
      </c>
      <c r="B76">
        <f>AEP!F76</f>
        <v>18.043659000000002</v>
      </c>
      <c r="C76">
        <f>DFSVX!F76</f>
        <v>4.9187310000000002</v>
      </c>
      <c r="D76">
        <f>DFLVX!F76</f>
        <v>7.5015919999999996</v>
      </c>
      <c r="E76">
        <f>FSAGX!F76</f>
        <v>5.2863129999999998</v>
      </c>
      <c r="F76" s="5">
        <f>'FRED Graph'!B86</f>
        <v>4.3</v>
      </c>
      <c r="G76" s="9">
        <f t="shared" si="19"/>
        <v>4.2999999999999997E-2</v>
      </c>
      <c r="H76" s="10">
        <f t="shared" si="8"/>
        <v>0.67916594389075058</v>
      </c>
      <c r="I76" s="10">
        <f t="shared" si="9"/>
        <v>5.8509122742986183E-2</v>
      </c>
      <c r="J76" s="10">
        <f t="shared" si="10"/>
        <v>0.16499452957021596</v>
      </c>
      <c r="K76" s="10">
        <f t="shared" si="10"/>
        <v>-9.1626689266398789E-2</v>
      </c>
      <c r="L76" s="10">
        <f t="shared" si="17"/>
        <v>0.60866594389075057</v>
      </c>
      <c r="M76" s="10">
        <f t="shared" si="11"/>
        <v>-1.199087725701381E-2</v>
      </c>
      <c r="N76" s="10">
        <f t="shared" si="12"/>
        <v>9.4494529570215965E-2</v>
      </c>
      <c r="O76" s="10">
        <f t="shared" si="13"/>
        <v>-0.16212668926639878</v>
      </c>
      <c r="Y76" s="7">
        <f t="shared" si="3"/>
        <v>0.67916594389075058</v>
      </c>
      <c r="Z76" s="7">
        <f t="shared" si="4"/>
        <v>5.8509122742986183E-2</v>
      </c>
      <c r="AA76" s="7">
        <f t="shared" si="5"/>
        <v>0.16499452957021596</v>
      </c>
      <c r="AB76" s="7">
        <f t="shared" si="6"/>
        <v>-9.1626689266398789E-2</v>
      </c>
      <c r="AC76" s="7">
        <f t="shared" si="18"/>
        <v>0.62826594389075052</v>
      </c>
      <c r="AD76" s="7">
        <f t="shared" si="14"/>
        <v>7.6091227429861824E-3</v>
      </c>
      <c r="AE76" s="7">
        <f t="shared" si="15"/>
        <v>0.11409452957021596</v>
      </c>
      <c r="AF76" s="7">
        <f t="shared" si="16"/>
        <v>-0.14252668926639878</v>
      </c>
    </row>
    <row r="77" spans="1:32" x14ac:dyDescent="0.3">
      <c r="A77" s="1">
        <v>36982</v>
      </c>
      <c r="B77">
        <f>AEP!F77</f>
        <v>18.942008999999999</v>
      </c>
      <c r="C77">
        <f>DFSVX!F77</f>
        <v>5.21983</v>
      </c>
      <c r="D77">
        <f>DFLVX!F77</f>
        <v>7.9682789999999999</v>
      </c>
      <c r="E77">
        <f>FSAGX!F77</f>
        <v>6.0696450000000004</v>
      </c>
      <c r="F77" s="5">
        <f>'FRED Graph'!B87</f>
        <v>3.98</v>
      </c>
      <c r="G77" s="9">
        <f t="shared" si="19"/>
        <v>3.9800000000000002E-2</v>
      </c>
      <c r="H77" s="10">
        <f t="shared" si="8"/>
        <v>0.43488143447472566</v>
      </c>
      <c r="I77" s="10">
        <f t="shared" si="9"/>
        <v>0.16422639543322895</v>
      </c>
      <c r="J77" s="10">
        <f t="shared" si="10"/>
        <v>0.19701504824171281</v>
      </c>
      <c r="K77" s="10">
        <f t="shared" si="10"/>
        <v>0.12016781722811833</v>
      </c>
      <c r="L77" s="10">
        <f t="shared" si="17"/>
        <v>0.36438143447472565</v>
      </c>
      <c r="M77" s="10">
        <f t="shared" si="11"/>
        <v>9.3726395433228957E-2</v>
      </c>
      <c r="N77" s="10">
        <f t="shared" si="12"/>
        <v>0.12651504824171284</v>
      </c>
      <c r="O77" s="10">
        <f t="shared" si="13"/>
        <v>4.9667817228118333E-2</v>
      </c>
      <c r="Y77" s="7">
        <f t="shared" si="3"/>
        <v>0.43488143447472566</v>
      </c>
      <c r="Z77" s="7">
        <f t="shared" si="4"/>
        <v>0.16422639543322895</v>
      </c>
      <c r="AA77" s="7">
        <f t="shared" si="5"/>
        <v>0.19701504824171281</v>
      </c>
      <c r="AB77" s="7">
        <f t="shared" si="6"/>
        <v>0.12016781722811833</v>
      </c>
      <c r="AC77" s="7">
        <f t="shared" si="18"/>
        <v>0.38398143447472566</v>
      </c>
      <c r="AD77" s="7">
        <f t="shared" si="14"/>
        <v>0.11332639543322895</v>
      </c>
      <c r="AE77" s="7">
        <f t="shared" si="15"/>
        <v>0.14611504824171281</v>
      </c>
      <c r="AF77" s="7">
        <f t="shared" si="16"/>
        <v>6.9267817228118325E-2</v>
      </c>
    </row>
    <row r="78" spans="1:32" x14ac:dyDescent="0.3">
      <c r="A78" s="1">
        <v>37012</v>
      </c>
      <c r="B78">
        <f>AEP!F78</f>
        <v>19.272167</v>
      </c>
      <c r="C78">
        <f>DFSVX!F78</f>
        <v>5.5411619999999999</v>
      </c>
      <c r="D78">
        <f>DFLVX!F78</f>
        <v>8.1966970000000003</v>
      </c>
      <c r="E78">
        <f>FSAGX!F78</f>
        <v>6.3976550000000003</v>
      </c>
      <c r="F78" s="5">
        <f>'FRED Graph'!B88</f>
        <v>3.78</v>
      </c>
      <c r="G78" s="9">
        <f t="shared" si="19"/>
        <v>3.78E-2</v>
      </c>
      <c r="H78" s="10">
        <f t="shared" si="8"/>
        <v>0.50350799890218023</v>
      </c>
      <c r="I78" s="10">
        <f t="shared" si="9"/>
        <v>0.28948648941109123</v>
      </c>
      <c r="J78" s="10">
        <f t="shared" si="10"/>
        <v>0.23402899390324697</v>
      </c>
      <c r="K78" s="10">
        <f t="shared" si="10"/>
        <v>0.15599908787150987</v>
      </c>
      <c r="L78" s="10">
        <f t="shared" si="17"/>
        <v>0.43300799890218022</v>
      </c>
      <c r="M78" s="10">
        <f t="shared" si="11"/>
        <v>0.21898648941109122</v>
      </c>
      <c r="N78" s="10">
        <f t="shared" si="12"/>
        <v>0.16352899390324699</v>
      </c>
      <c r="O78" s="10">
        <f t="shared" si="13"/>
        <v>8.549908787150988E-2</v>
      </c>
      <c r="Y78" s="7">
        <f t="shared" ref="Y78:Y141" si="20">(B78-B66)/B66</f>
        <v>0.50350799890218023</v>
      </c>
      <c r="Z78" s="7">
        <f t="shared" ref="Z78:Z141" si="21">(C78-C66)/C66</f>
        <v>0.28948648941109123</v>
      </c>
      <c r="AA78" s="7">
        <f t="shared" ref="AA78:AA141" si="22">(D78-D66)/D66</f>
        <v>0.23402899390324697</v>
      </c>
      <c r="AB78" s="7">
        <f t="shared" ref="AB78:AB141" si="23">(E78-E66)/E66</f>
        <v>0.15599908787150987</v>
      </c>
      <c r="AC78" s="7">
        <f t="shared" si="18"/>
        <v>0.45260799890218023</v>
      </c>
      <c r="AD78" s="7">
        <f t="shared" si="14"/>
        <v>0.23858648941109123</v>
      </c>
      <c r="AE78" s="7">
        <f t="shared" si="15"/>
        <v>0.18312899390324697</v>
      </c>
      <c r="AF78" s="7">
        <f t="shared" si="16"/>
        <v>0.10509908787150987</v>
      </c>
    </row>
    <row r="79" spans="1:32" x14ac:dyDescent="0.3">
      <c r="A79" s="1">
        <v>37043</v>
      </c>
      <c r="B79">
        <f>AEP!F79</f>
        <v>17.947506000000001</v>
      </c>
      <c r="C79">
        <f>DFSVX!F79</f>
        <v>5.5765859999999998</v>
      </c>
      <c r="D79">
        <f>DFLVX!F79</f>
        <v>8.0078150000000008</v>
      </c>
      <c r="E79">
        <f>FSAGX!F79</f>
        <v>6.5673810000000001</v>
      </c>
      <c r="F79" s="5">
        <f>'FRED Graph'!B89</f>
        <v>3.58</v>
      </c>
      <c r="G79" s="9">
        <f t="shared" si="19"/>
        <v>3.5799999999999998E-2</v>
      </c>
      <c r="H79" s="10">
        <f t="shared" ref="H79:H142" si="24">(B79-B67)/B67</f>
        <v>0.65166291271428023</v>
      </c>
      <c r="I79" s="10">
        <f t="shared" ref="I79:I142" si="25">(C79-C67)/C67</f>
        <v>0.23618548281980284</v>
      </c>
      <c r="J79" s="10">
        <f t="shared" ref="J79:K142" si="26">(D79-D67)/D67</f>
        <v>0.30195396784027884</v>
      </c>
      <c r="K79" s="10">
        <f t="shared" si="26"/>
        <v>0.10543899305349241</v>
      </c>
      <c r="L79" s="10">
        <f t="shared" ref="L79:L142" si="27">H79-$G$2</f>
        <v>0.58116291271428022</v>
      </c>
      <c r="M79" s="10">
        <f t="shared" ref="M79:M142" si="28">I79-$G$2</f>
        <v>0.16568548281980283</v>
      </c>
      <c r="N79" s="10">
        <f t="shared" ref="N79:N142" si="29">J79-$G$2</f>
        <v>0.23145396784027883</v>
      </c>
      <c r="O79" s="10">
        <f t="shared" ref="O79:O142" si="30">K79-$G$2</f>
        <v>3.493899305349242E-2</v>
      </c>
      <c r="Y79" s="7">
        <f t="shared" si="20"/>
        <v>0.65166291271428023</v>
      </c>
      <c r="Z79" s="7">
        <f t="shared" si="21"/>
        <v>0.23618548281980284</v>
      </c>
      <c r="AA79" s="7">
        <f t="shared" si="22"/>
        <v>0.30195396784027884</v>
      </c>
      <c r="AB79" s="7">
        <f t="shared" si="23"/>
        <v>0.10543899305349241</v>
      </c>
      <c r="AC79" s="7">
        <f t="shared" ref="AC79:AC142" si="31">Y79-$F$14/100</f>
        <v>0.60076291271428017</v>
      </c>
      <c r="AD79" s="7">
        <f t="shared" ref="AD79:AD142" si="32">Z79-$F$14/100</f>
        <v>0.18528548281980284</v>
      </c>
      <c r="AE79" s="7">
        <f t="shared" ref="AE79:AE142" si="33">AA79-$F$14/100</f>
        <v>0.25105396784027884</v>
      </c>
      <c r="AF79" s="7">
        <f t="shared" ref="AF79:AF142" si="34">AB79-$F$14/100</f>
        <v>5.4538993053492413E-2</v>
      </c>
    </row>
    <row r="80" spans="1:32" x14ac:dyDescent="0.3">
      <c r="A80" s="1">
        <v>37073</v>
      </c>
      <c r="B80">
        <f>AEP!F80</f>
        <v>17.492699000000002</v>
      </c>
      <c r="C80">
        <f>DFSVX!F80</f>
        <v>5.6550209999999996</v>
      </c>
      <c r="D80">
        <f>DFLVX!F80</f>
        <v>8.0867400000000007</v>
      </c>
      <c r="E80">
        <f>FSAGX!F80</f>
        <v>6.1949310000000004</v>
      </c>
      <c r="F80" s="5">
        <f>'FRED Graph'!B90</f>
        <v>3.62</v>
      </c>
      <c r="G80" s="9">
        <f t="shared" si="19"/>
        <v>3.6200000000000003E-2</v>
      </c>
      <c r="H80" s="10">
        <f t="shared" si="24"/>
        <v>0.45342737415917383</v>
      </c>
      <c r="I80" s="10">
        <f t="shared" si="25"/>
        <v>0.25485235513055188</v>
      </c>
      <c r="J80" s="10">
        <f t="shared" si="26"/>
        <v>0.25364696340107518</v>
      </c>
      <c r="K80" s="10">
        <f t="shared" si="26"/>
        <v>0.11185552716807526</v>
      </c>
      <c r="L80" s="10">
        <f t="shared" si="27"/>
        <v>0.38292737415917383</v>
      </c>
      <c r="M80" s="10">
        <f t="shared" si="28"/>
        <v>0.18435235513055187</v>
      </c>
      <c r="N80" s="10">
        <f t="shared" si="29"/>
        <v>0.18314696340107517</v>
      </c>
      <c r="O80" s="10">
        <f t="shared" si="30"/>
        <v>4.1355527168075265E-2</v>
      </c>
      <c r="Y80" s="7">
        <f t="shared" si="20"/>
        <v>0.45342737415917383</v>
      </c>
      <c r="Z80" s="7">
        <f t="shared" si="21"/>
        <v>0.25485235513055188</v>
      </c>
      <c r="AA80" s="7">
        <f t="shared" si="22"/>
        <v>0.25364696340107518</v>
      </c>
      <c r="AB80" s="7">
        <f t="shared" si="23"/>
        <v>0.11185552716807526</v>
      </c>
      <c r="AC80" s="7">
        <f t="shared" si="31"/>
        <v>0.40252737415917383</v>
      </c>
      <c r="AD80" s="7">
        <f t="shared" si="32"/>
        <v>0.20395235513055188</v>
      </c>
      <c r="AE80" s="7">
        <f t="shared" si="33"/>
        <v>0.20274696340107518</v>
      </c>
      <c r="AF80" s="7">
        <f t="shared" si="34"/>
        <v>6.0955527168075258E-2</v>
      </c>
    </row>
    <row r="81" spans="1:32" x14ac:dyDescent="0.3">
      <c r="A81" s="1">
        <v>37104</v>
      </c>
      <c r="B81">
        <f>AEP!F81</f>
        <v>17.792017000000001</v>
      </c>
      <c r="C81">
        <f>DFSVX!F81</f>
        <v>5.5791170000000001</v>
      </c>
      <c r="D81">
        <f>DFLVX!F81</f>
        <v>7.7295800000000003</v>
      </c>
      <c r="E81">
        <f>FSAGX!F81</f>
        <v>6.5438090000000004</v>
      </c>
      <c r="F81" s="5">
        <f>'FRED Graph'!B91</f>
        <v>3.47</v>
      </c>
      <c r="G81" s="9">
        <f t="shared" si="19"/>
        <v>3.4700000000000002E-2</v>
      </c>
      <c r="H81" s="10">
        <f t="shared" si="24"/>
        <v>0.380356625406777</v>
      </c>
      <c r="I81" s="10">
        <f t="shared" si="25"/>
        <v>0.15269035675627882</v>
      </c>
      <c r="J81" s="10">
        <f t="shared" si="26"/>
        <v>0.13213527481404069</v>
      </c>
      <c r="K81" s="10">
        <f t="shared" si="26"/>
        <v>0.12267080612141089</v>
      </c>
      <c r="L81" s="10">
        <f t="shared" si="27"/>
        <v>0.309856625406777</v>
      </c>
      <c r="M81" s="10">
        <f t="shared" si="28"/>
        <v>8.2190356756278823E-2</v>
      </c>
      <c r="N81" s="10">
        <f t="shared" si="29"/>
        <v>6.16352748140407E-2</v>
      </c>
      <c r="O81" s="10">
        <f t="shared" si="30"/>
        <v>5.2170806121410895E-2</v>
      </c>
      <c r="Y81" s="7">
        <f t="shared" si="20"/>
        <v>0.380356625406777</v>
      </c>
      <c r="Z81" s="7">
        <f t="shared" si="21"/>
        <v>0.15269035675627882</v>
      </c>
      <c r="AA81" s="7">
        <f t="shared" si="22"/>
        <v>0.13213527481404069</v>
      </c>
      <c r="AB81" s="7">
        <f t="shared" si="23"/>
        <v>0.12267080612141089</v>
      </c>
      <c r="AC81" s="7">
        <f t="shared" si="31"/>
        <v>0.329456625406777</v>
      </c>
      <c r="AD81" s="7">
        <f t="shared" si="32"/>
        <v>0.10179035675627882</v>
      </c>
      <c r="AE81" s="7">
        <f t="shared" si="33"/>
        <v>8.1235274814040692E-2</v>
      </c>
      <c r="AF81" s="7">
        <f t="shared" si="34"/>
        <v>7.1770806121410888E-2</v>
      </c>
    </row>
    <row r="82" spans="1:32" x14ac:dyDescent="0.3">
      <c r="A82" s="1">
        <v>37135</v>
      </c>
      <c r="B82">
        <f>AEP!F82</f>
        <v>17.028959</v>
      </c>
      <c r="C82">
        <f>DFSVX!F82</f>
        <v>4.7669180000000004</v>
      </c>
      <c r="D82">
        <f>DFLVX!F82</f>
        <v>6.8433060000000001</v>
      </c>
      <c r="E82">
        <f>FSAGX!F82</f>
        <v>6.6522430000000004</v>
      </c>
      <c r="F82" s="5">
        <f>'FRED Graph'!B92</f>
        <v>2.82</v>
      </c>
      <c r="G82" s="9">
        <f t="shared" si="19"/>
        <v>2.8199999999999999E-2</v>
      </c>
      <c r="H82" s="10">
        <f t="shared" si="24"/>
        <v>0.16584258533558335</v>
      </c>
      <c r="I82" s="10">
        <f t="shared" si="25"/>
        <v>3.484151856056732E-3</v>
      </c>
      <c r="J82" s="10">
        <f t="shared" si="26"/>
        <v>2.428125029467541E-2</v>
      </c>
      <c r="K82" s="10">
        <f t="shared" si="26"/>
        <v>0.21223904874418845</v>
      </c>
      <c r="L82" s="10">
        <f t="shared" si="27"/>
        <v>9.534258533558336E-2</v>
      </c>
      <c r="M82" s="10">
        <f t="shared" si="28"/>
        <v>-6.7015848143943263E-2</v>
      </c>
      <c r="N82" s="10">
        <f t="shared" si="29"/>
        <v>-4.621874970532458E-2</v>
      </c>
      <c r="O82" s="10">
        <f t="shared" si="30"/>
        <v>0.14173904874418847</v>
      </c>
      <c r="Y82" s="7">
        <f t="shared" si="20"/>
        <v>0.16584258533558335</v>
      </c>
      <c r="Z82" s="7">
        <f t="shared" si="21"/>
        <v>3.484151856056732E-3</v>
      </c>
      <c r="AA82" s="7">
        <f t="shared" si="22"/>
        <v>2.428125029467541E-2</v>
      </c>
      <c r="AB82" s="7">
        <f t="shared" si="23"/>
        <v>0.21223904874418845</v>
      </c>
      <c r="AC82" s="7">
        <f t="shared" si="31"/>
        <v>0.11494258533558335</v>
      </c>
      <c r="AD82" s="7">
        <f t="shared" si="32"/>
        <v>-4.7415848143943271E-2</v>
      </c>
      <c r="AE82" s="7">
        <f t="shared" si="33"/>
        <v>-2.6618749705324591E-2</v>
      </c>
      <c r="AF82" s="7">
        <f t="shared" si="34"/>
        <v>0.16133904874418845</v>
      </c>
    </row>
    <row r="83" spans="1:32" x14ac:dyDescent="0.3">
      <c r="A83" s="1">
        <v>37165</v>
      </c>
      <c r="B83">
        <f>AEP!F83</f>
        <v>16.505056</v>
      </c>
      <c r="C83">
        <f>DFSVX!F83</f>
        <v>4.9541539999999999</v>
      </c>
      <c r="D83">
        <f>DFLVX!F83</f>
        <v>6.8637699999999997</v>
      </c>
      <c r="E83">
        <f>FSAGX!F83</f>
        <v>6.5249490000000003</v>
      </c>
      <c r="F83" s="5">
        <f>'FRED Graph'!B93</f>
        <v>2.33</v>
      </c>
      <c r="G83" s="9">
        <f t="shared" si="19"/>
        <v>2.3300000000000001E-2</v>
      </c>
      <c r="H83" s="10">
        <f t="shared" si="24"/>
        <v>6.5733826115446009E-2</v>
      </c>
      <c r="I83" s="10">
        <f t="shared" si="25"/>
        <v>8.3837971041379772E-2</v>
      </c>
      <c r="J83" s="10">
        <f t="shared" si="26"/>
        <v>-1.6919744791605514E-2</v>
      </c>
      <c r="K83" s="10">
        <f t="shared" si="26"/>
        <v>0.33582354625947042</v>
      </c>
      <c r="L83" s="10">
        <f t="shared" si="27"/>
        <v>-4.7661738845539842E-3</v>
      </c>
      <c r="M83" s="10">
        <f t="shared" si="28"/>
        <v>1.3337971041379779E-2</v>
      </c>
      <c r="N83" s="10">
        <f t="shared" si="29"/>
        <v>-8.7419744791605511E-2</v>
      </c>
      <c r="O83" s="10">
        <f t="shared" si="30"/>
        <v>0.26532354625947041</v>
      </c>
      <c r="Y83" s="7">
        <f t="shared" si="20"/>
        <v>6.5733826115446009E-2</v>
      </c>
      <c r="Z83" s="7">
        <f t="shared" si="21"/>
        <v>8.3837971041379772E-2</v>
      </c>
      <c r="AA83" s="7">
        <f t="shared" si="22"/>
        <v>-1.6919744791605514E-2</v>
      </c>
      <c r="AB83" s="7">
        <f t="shared" si="23"/>
        <v>0.33582354625947042</v>
      </c>
      <c r="AC83" s="7">
        <f t="shared" si="31"/>
        <v>1.4833826115446008E-2</v>
      </c>
      <c r="AD83" s="7">
        <f t="shared" si="32"/>
        <v>3.2937971041379771E-2</v>
      </c>
      <c r="AE83" s="7">
        <f t="shared" si="33"/>
        <v>-6.7819744791605518E-2</v>
      </c>
      <c r="AF83" s="7">
        <f t="shared" si="34"/>
        <v>0.28492354625947042</v>
      </c>
    </row>
    <row r="84" spans="1:32" x14ac:dyDescent="0.3">
      <c r="A84" s="1">
        <v>37196</v>
      </c>
      <c r="B84">
        <f>AEP!F84</f>
        <v>16.249006000000001</v>
      </c>
      <c r="C84">
        <f>DFSVX!F84</f>
        <v>5.3412750000000004</v>
      </c>
      <c r="D84">
        <f>DFLVX!F84</f>
        <v>7.5098789999999997</v>
      </c>
      <c r="E84">
        <f>FSAGX!F84</f>
        <v>6.6758139999999999</v>
      </c>
      <c r="F84" s="5">
        <f>'FRED Graph'!B94</f>
        <v>2.1800000000000002</v>
      </c>
      <c r="G84" s="9">
        <f t="shared" si="19"/>
        <v>2.18E-2</v>
      </c>
      <c r="H84" s="10">
        <f t="shared" si="24"/>
        <v>-5.3438555462369232E-2</v>
      </c>
      <c r="I84" s="10">
        <f t="shared" si="25"/>
        <v>0.23569400970274085</v>
      </c>
      <c r="J84" s="10">
        <f t="shared" si="26"/>
        <v>0.11194374155109027</v>
      </c>
      <c r="K84" s="10">
        <f t="shared" si="26"/>
        <v>0.31269420097837386</v>
      </c>
      <c r="L84" s="10">
        <f t="shared" si="27"/>
        <v>-0.12393855546236923</v>
      </c>
      <c r="M84" s="10">
        <f t="shared" si="28"/>
        <v>0.16519400970274084</v>
      </c>
      <c r="N84" s="10">
        <f t="shared" si="29"/>
        <v>4.1443741551090277E-2</v>
      </c>
      <c r="O84" s="10">
        <f t="shared" si="30"/>
        <v>0.24219420097837385</v>
      </c>
      <c r="Y84" s="7">
        <f t="shared" si="20"/>
        <v>-5.3438555462369232E-2</v>
      </c>
      <c r="Z84" s="7">
        <f t="shared" si="21"/>
        <v>0.23569400970274085</v>
      </c>
      <c r="AA84" s="7">
        <f t="shared" si="22"/>
        <v>0.11194374155109027</v>
      </c>
      <c r="AB84" s="7">
        <f t="shared" si="23"/>
        <v>0.31269420097837386</v>
      </c>
      <c r="AC84" s="7">
        <f t="shared" si="31"/>
        <v>-0.10433855546236923</v>
      </c>
      <c r="AD84" s="7">
        <f t="shared" si="32"/>
        <v>0.18479400970274085</v>
      </c>
      <c r="AE84" s="7">
        <f t="shared" si="33"/>
        <v>6.1043741551090269E-2</v>
      </c>
      <c r="AF84" s="7">
        <f t="shared" si="34"/>
        <v>0.26179420097837386</v>
      </c>
    </row>
    <row r="85" spans="1:32" x14ac:dyDescent="0.3">
      <c r="A85" s="1">
        <v>37226</v>
      </c>
      <c r="B85">
        <f>AEP!F85</f>
        <v>17.383924</v>
      </c>
      <c r="C85">
        <f>DFSVX!F85</f>
        <v>4.7593269999999999</v>
      </c>
      <c r="D85">
        <f>DFLVX!F85</f>
        <v>6.8195189999999997</v>
      </c>
      <c r="E85">
        <f>FSAGX!F85</f>
        <v>6.9822600000000001</v>
      </c>
      <c r="F85" s="5">
        <f>'FRED Graph'!B95</f>
        <v>2.2200000000000002</v>
      </c>
      <c r="G85" s="9">
        <f t="shared" si="19"/>
        <v>2.2200000000000001E-2</v>
      </c>
      <c r="H85" s="10">
        <f t="shared" si="24"/>
        <v>-1.289774208456524E-2</v>
      </c>
      <c r="I85" s="10">
        <f t="shared" si="25"/>
        <v>0.12317814684798956</v>
      </c>
      <c r="J85" s="10">
        <f t="shared" si="26"/>
        <v>9.760664636433998E-2</v>
      </c>
      <c r="K85" s="10">
        <f t="shared" si="26"/>
        <v>0.24067418944719918</v>
      </c>
      <c r="L85" s="10">
        <f t="shared" si="27"/>
        <v>-8.3397742084565241E-2</v>
      </c>
      <c r="M85" s="10">
        <f t="shared" si="28"/>
        <v>5.2678146847989563E-2</v>
      </c>
      <c r="N85" s="10">
        <f t="shared" si="29"/>
        <v>2.7106646364339987E-2</v>
      </c>
      <c r="O85" s="10">
        <f t="shared" si="30"/>
        <v>0.1701741894471992</v>
      </c>
      <c r="Y85" s="7">
        <f t="shared" si="20"/>
        <v>-1.289774208456524E-2</v>
      </c>
      <c r="Z85" s="7">
        <f t="shared" si="21"/>
        <v>0.12317814684798956</v>
      </c>
      <c r="AA85" s="7">
        <f t="shared" si="22"/>
        <v>9.760664636433998E-2</v>
      </c>
      <c r="AB85" s="7">
        <f t="shared" si="23"/>
        <v>0.24067418944719918</v>
      </c>
      <c r="AC85" s="7">
        <f t="shared" si="31"/>
        <v>-6.3797742084565234E-2</v>
      </c>
      <c r="AD85" s="7">
        <f t="shared" si="32"/>
        <v>7.2278146847989555E-2</v>
      </c>
      <c r="AE85" s="7">
        <f t="shared" si="33"/>
        <v>4.6706646364339979E-2</v>
      </c>
      <c r="AF85" s="7">
        <f t="shared" si="34"/>
        <v>0.18977418944719918</v>
      </c>
    </row>
    <row r="86" spans="1:32" x14ac:dyDescent="0.3">
      <c r="A86" s="1">
        <v>37257</v>
      </c>
      <c r="B86">
        <f>AEP!F86</f>
        <v>16.669073000000001</v>
      </c>
      <c r="C86">
        <f>DFSVX!F86</f>
        <v>5.8216279999999996</v>
      </c>
      <c r="D86">
        <f>DFLVX!F86</f>
        <v>7.7694369999999999</v>
      </c>
      <c r="E86">
        <f>FSAGX!F86</f>
        <v>7.9512600000000004</v>
      </c>
      <c r="F86" s="5">
        <f>'FRED Graph'!B96</f>
        <v>2.16</v>
      </c>
      <c r="G86" s="9">
        <f t="shared" si="19"/>
        <v>2.1600000000000001E-2</v>
      </c>
      <c r="H86" s="10">
        <f t="shared" si="24"/>
        <v>1.7636492972240181E-2</v>
      </c>
      <c r="I86" s="10">
        <f t="shared" si="25"/>
        <v>0.13230624403128322</v>
      </c>
      <c r="J86" s="10">
        <f t="shared" si="26"/>
        <v>6.3648698337751258E-4</v>
      </c>
      <c r="K86" s="10">
        <f t="shared" si="26"/>
        <v>0.42091019626540332</v>
      </c>
      <c r="L86" s="10">
        <f t="shared" si="27"/>
        <v>-5.2863507027759812E-2</v>
      </c>
      <c r="M86" s="10">
        <f t="shared" si="28"/>
        <v>6.1806244031283222E-2</v>
      </c>
      <c r="N86" s="10">
        <f t="shared" si="29"/>
        <v>-6.9863513016622483E-2</v>
      </c>
      <c r="O86" s="10">
        <f t="shared" si="30"/>
        <v>0.35041019626540332</v>
      </c>
      <c r="Y86" s="7">
        <f t="shared" si="20"/>
        <v>1.7636492972240181E-2</v>
      </c>
      <c r="Z86" s="7">
        <f t="shared" si="21"/>
        <v>0.13230624403128322</v>
      </c>
      <c r="AA86" s="7">
        <f t="shared" si="22"/>
        <v>6.3648698337751258E-4</v>
      </c>
      <c r="AB86" s="7">
        <f t="shared" si="23"/>
        <v>0.42091019626540332</v>
      </c>
      <c r="AC86" s="7">
        <f t="shared" si="31"/>
        <v>-3.326350702775982E-2</v>
      </c>
      <c r="AD86" s="7">
        <f t="shared" si="32"/>
        <v>8.1406244031283215E-2</v>
      </c>
      <c r="AE86" s="7">
        <f t="shared" si="33"/>
        <v>-5.0263513016622491E-2</v>
      </c>
      <c r="AF86" s="7">
        <f t="shared" si="34"/>
        <v>0.37001019626540332</v>
      </c>
    </row>
    <row r="87" spans="1:32" x14ac:dyDescent="0.3">
      <c r="A87" s="1">
        <v>37288</v>
      </c>
      <c r="B87">
        <f>AEP!F87</f>
        <v>17.511709</v>
      </c>
      <c r="C87">
        <f>DFSVX!F87</f>
        <v>5.8124849999999997</v>
      </c>
      <c r="D87">
        <f>DFLVX!F87</f>
        <v>7.8692380000000002</v>
      </c>
      <c r="E87">
        <f>FSAGX!F87</f>
        <v>8.6996699999999993</v>
      </c>
      <c r="F87" s="5">
        <f>'FRED Graph'!B97</f>
        <v>2.23</v>
      </c>
      <c r="G87" s="9">
        <f t="shared" si="19"/>
        <v>2.23E-2</v>
      </c>
      <c r="H87" s="10">
        <f t="shared" si="24"/>
        <v>-2.7394420110387379E-2</v>
      </c>
      <c r="I87" s="10">
        <f t="shared" si="25"/>
        <v>0.15265059753561175</v>
      </c>
      <c r="J87" s="10">
        <f t="shared" si="26"/>
        <v>1.4061249818140768E-2</v>
      </c>
      <c r="K87" s="10">
        <f t="shared" si="26"/>
        <v>0.49814274914456241</v>
      </c>
      <c r="L87" s="10">
        <f t="shared" si="27"/>
        <v>-9.7894420110387376E-2</v>
      </c>
      <c r="M87" s="10">
        <f t="shared" si="28"/>
        <v>8.2150597535611755E-2</v>
      </c>
      <c r="N87" s="10">
        <f t="shared" si="29"/>
        <v>-5.6438750181859225E-2</v>
      </c>
      <c r="O87" s="10">
        <f t="shared" si="30"/>
        <v>0.42764274914456241</v>
      </c>
      <c r="Y87" s="7">
        <f t="shared" si="20"/>
        <v>-2.7394420110387379E-2</v>
      </c>
      <c r="Z87" s="7">
        <f t="shared" si="21"/>
        <v>0.15265059753561175</v>
      </c>
      <c r="AA87" s="7">
        <f t="shared" si="22"/>
        <v>1.4061249818140768E-2</v>
      </c>
      <c r="AB87" s="7">
        <f t="shared" si="23"/>
        <v>0.49814274914456241</v>
      </c>
      <c r="AC87" s="7">
        <f t="shared" si="31"/>
        <v>-7.8294420110387383E-2</v>
      </c>
      <c r="AD87" s="7">
        <f t="shared" si="32"/>
        <v>0.10175059753561175</v>
      </c>
      <c r="AE87" s="7">
        <f t="shared" si="33"/>
        <v>-3.6838750181859233E-2</v>
      </c>
      <c r="AF87" s="7">
        <f t="shared" si="34"/>
        <v>0.44724274914456241</v>
      </c>
    </row>
    <row r="88" spans="1:32" x14ac:dyDescent="0.3">
      <c r="A88" s="1">
        <v>37316</v>
      </c>
      <c r="B88">
        <f>AEP!F88</f>
        <v>18.676953999999999</v>
      </c>
      <c r="C88">
        <f>DFSVX!F88</f>
        <v>6.3855040000000001</v>
      </c>
      <c r="D88">
        <f>DFLVX!F88</f>
        <v>8.1836059999999993</v>
      </c>
      <c r="E88">
        <f>FSAGX!F88</f>
        <v>9.5815540000000006</v>
      </c>
      <c r="F88" s="5">
        <f>'FRED Graph'!B98</f>
        <v>2.57</v>
      </c>
      <c r="G88" s="9">
        <f t="shared" si="19"/>
        <v>2.5699999999999997E-2</v>
      </c>
      <c r="H88" s="10">
        <f t="shared" si="24"/>
        <v>3.5097925537164981E-2</v>
      </c>
      <c r="I88" s="10">
        <f t="shared" si="25"/>
        <v>0.29820150766529008</v>
      </c>
      <c r="J88" s="10">
        <f t="shared" si="26"/>
        <v>9.0915901584623593E-2</v>
      </c>
      <c r="K88" s="10">
        <f t="shared" si="26"/>
        <v>0.8125211276744303</v>
      </c>
      <c r="L88" s="10">
        <f t="shared" si="27"/>
        <v>-3.5402074462835012E-2</v>
      </c>
      <c r="M88" s="10">
        <f t="shared" si="28"/>
        <v>0.22770150766529007</v>
      </c>
      <c r="N88" s="10">
        <f t="shared" si="29"/>
        <v>2.04159015846236E-2</v>
      </c>
      <c r="O88" s="10">
        <f t="shared" si="30"/>
        <v>0.74202112767443029</v>
      </c>
      <c r="Y88" s="7">
        <f t="shared" si="20"/>
        <v>3.5097925537164981E-2</v>
      </c>
      <c r="Z88" s="7">
        <f t="shared" si="21"/>
        <v>0.29820150766529008</v>
      </c>
      <c r="AA88" s="7">
        <f t="shared" si="22"/>
        <v>9.0915901584623593E-2</v>
      </c>
      <c r="AB88" s="7">
        <f t="shared" si="23"/>
        <v>0.8125211276744303</v>
      </c>
      <c r="AC88" s="7">
        <f t="shared" si="31"/>
        <v>-1.580207446283502E-2</v>
      </c>
      <c r="AD88" s="7">
        <f t="shared" si="32"/>
        <v>0.24730150766529008</v>
      </c>
      <c r="AE88" s="7">
        <f t="shared" si="33"/>
        <v>4.0015901584623592E-2</v>
      </c>
      <c r="AF88" s="7">
        <f t="shared" si="34"/>
        <v>0.76162112767443024</v>
      </c>
    </row>
    <row r="89" spans="1:32" x14ac:dyDescent="0.3">
      <c r="A89" s="1">
        <v>37347</v>
      </c>
      <c r="B89">
        <f>AEP!F89</f>
        <v>18.559436999999999</v>
      </c>
      <c r="C89">
        <f>DFSVX!F89</f>
        <v>6.6750579999999999</v>
      </c>
      <c r="D89">
        <f>DFLVX!F89</f>
        <v>8.1215469999999996</v>
      </c>
      <c r="E89">
        <f>FSAGX!F89</f>
        <v>9.9200049999999997</v>
      </c>
      <c r="F89" s="5">
        <f>'FRED Graph'!B99</f>
        <v>2.48</v>
      </c>
      <c r="G89" s="9">
        <f t="shared" si="19"/>
        <v>2.4799999999999999E-2</v>
      </c>
      <c r="H89" s="10">
        <f t="shared" si="24"/>
        <v>-2.0197012893405326E-2</v>
      </c>
      <c r="I89" s="10">
        <f t="shared" si="25"/>
        <v>0.27878838966019964</v>
      </c>
      <c r="J89" s="10">
        <f t="shared" si="26"/>
        <v>1.9234768260498879E-2</v>
      </c>
      <c r="K89" s="10">
        <f t="shared" si="26"/>
        <v>0.63436329472316733</v>
      </c>
      <c r="L89" s="10">
        <f t="shared" si="27"/>
        <v>-9.0697012893405315E-2</v>
      </c>
      <c r="M89" s="10">
        <f t="shared" si="28"/>
        <v>0.20828838966019964</v>
      </c>
      <c r="N89" s="10">
        <f t="shared" si="29"/>
        <v>-5.1265231739501115E-2</v>
      </c>
      <c r="O89" s="10">
        <f t="shared" si="30"/>
        <v>0.56386329472316732</v>
      </c>
      <c r="Y89" s="7">
        <f t="shared" si="20"/>
        <v>-2.0197012893405326E-2</v>
      </c>
      <c r="Z89" s="7">
        <f t="shared" si="21"/>
        <v>0.27878838966019964</v>
      </c>
      <c r="AA89" s="7">
        <f t="shared" si="22"/>
        <v>1.9234768260498879E-2</v>
      </c>
      <c r="AB89" s="7">
        <f t="shared" si="23"/>
        <v>0.63436329472316733</v>
      </c>
      <c r="AC89" s="7">
        <f t="shared" si="31"/>
        <v>-7.1097012893405323E-2</v>
      </c>
      <c r="AD89" s="7">
        <f t="shared" si="32"/>
        <v>0.22788838966019964</v>
      </c>
      <c r="AE89" s="7">
        <f t="shared" si="33"/>
        <v>-3.1665231739501122E-2</v>
      </c>
      <c r="AF89" s="7">
        <f t="shared" si="34"/>
        <v>0.58346329472316727</v>
      </c>
    </row>
    <row r="90" spans="1:32" x14ac:dyDescent="0.3">
      <c r="A90" s="1">
        <v>37377</v>
      </c>
      <c r="B90">
        <f>AEP!F90</f>
        <v>17.315391999999999</v>
      </c>
      <c r="C90">
        <f>DFSVX!F90</f>
        <v>6.4647500000000004</v>
      </c>
      <c r="D90">
        <f>DFLVX!F90</f>
        <v>8.1715230000000005</v>
      </c>
      <c r="E90">
        <f>FSAGX!F90</f>
        <v>11.653627</v>
      </c>
      <c r="F90" s="5">
        <f>'FRED Graph'!B100</f>
        <v>2.35</v>
      </c>
      <c r="G90" s="9">
        <f t="shared" si="19"/>
        <v>2.35E-2</v>
      </c>
      <c r="H90" s="10">
        <f t="shared" si="24"/>
        <v>-0.1015337299640461</v>
      </c>
      <c r="I90" s="10">
        <f t="shared" si="25"/>
        <v>0.16667767518798413</v>
      </c>
      <c r="J90" s="10">
        <f t="shared" si="26"/>
        <v>-3.0712371092892427E-3</v>
      </c>
      <c r="K90" s="10">
        <f t="shared" si="26"/>
        <v>0.82154664482533046</v>
      </c>
      <c r="L90" s="10">
        <f t="shared" si="27"/>
        <v>-0.17203372996404609</v>
      </c>
      <c r="M90" s="10">
        <f t="shared" si="28"/>
        <v>9.6177675187984132E-2</v>
      </c>
      <c r="N90" s="10">
        <f t="shared" si="29"/>
        <v>-7.3571237109289242E-2</v>
      </c>
      <c r="O90" s="10">
        <f t="shared" si="30"/>
        <v>0.75104664482533046</v>
      </c>
      <c r="Y90" s="7">
        <f t="shared" si="20"/>
        <v>-0.1015337299640461</v>
      </c>
      <c r="Z90" s="7">
        <f t="shared" si="21"/>
        <v>0.16667767518798413</v>
      </c>
      <c r="AA90" s="7">
        <f t="shared" si="22"/>
        <v>-3.0712371092892427E-3</v>
      </c>
      <c r="AB90" s="7">
        <f t="shared" si="23"/>
        <v>0.82154664482533046</v>
      </c>
      <c r="AC90" s="7">
        <f t="shared" si="31"/>
        <v>-0.15243372996404608</v>
      </c>
      <c r="AD90" s="7">
        <f t="shared" si="32"/>
        <v>0.11577767518798412</v>
      </c>
      <c r="AE90" s="7">
        <f t="shared" si="33"/>
        <v>-5.3971237109289243E-2</v>
      </c>
      <c r="AF90" s="7">
        <f t="shared" si="34"/>
        <v>0.77064664482533041</v>
      </c>
    </row>
    <row r="91" spans="1:32" x14ac:dyDescent="0.3">
      <c r="A91" s="1">
        <v>37408</v>
      </c>
      <c r="B91">
        <f>AEP!F91</f>
        <v>16.429855</v>
      </c>
      <c r="C91">
        <f>DFSVX!F91</f>
        <v>6.3306420000000001</v>
      </c>
      <c r="D91">
        <f>DFLVX!F91</f>
        <v>7.6517489999999997</v>
      </c>
      <c r="E91">
        <f>FSAGX!F91</f>
        <v>10.384945999999999</v>
      </c>
      <c r="F91" s="5">
        <f>'FRED Graph'!B101</f>
        <v>2.2000000000000002</v>
      </c>
      <c r="G91" s="9">
        <f t="shared" si="19"/>
        <v>2.2000000000000002E-2</v>
      </c>
      <c r="H91" s="10">
        <f t="shared" si="24"/>
        <v>-8.4560551198589975E-2</v>
      </c>
      <c r="I91" s="10">
        <f t="shared" si="25"/>
        <v>0.1352182141546818</v>
      </c>
      <c r="J91" s="10">
        <f t="shared" si="26"/>
        <v>-4.446481343537545E-2</v>
      </c>
      <c r="K91" s="10">
        <f t="shared" si="26"/>
        <v>0.58129184221229124</v>
      </c>
      <c r="L91" s="10">
        <f t="shared" si="27"/>
        <v>-0.15506055119858997</v>
      </c>
      <c r="M91" s="10">
        <f t="shared" si="28"/>
        <v>6.4718214154681805E-2</v>
      </c>
      <c r="N91" s="10">
        <f t="shared" si="29"/>
        <v>-0.11496481343537544</v>
      </c>
      <c r="O91" s="10">
        <f t="shared" si="30"/>
        <v>0.51079184221229124</v>
      </c>
      <c r="Y91" s="7">
        <f t="shared" si="20"/>
        <v>-8.4560551198589975E-2</v>
      </c>
      <c r="Z91" s="7">
        <f t="shared" si="21"/>
        <v>0.1352182141546818</v>
      </c>
      <c r="AA91" s="7">
        <f t="shared" si="22"/>
        <v>-4.446481343537545E-2</v>
      </c>
      <c r="AB91" s="7">
        <f t="shared" si="23"/>
        <v>0.58129184221229124</v>
      </c>
      <c r="AC91" s="7">
        <f t="shared" si="31"/>
        <v>-0.13546055119858996</v>
      </c>
      <c r="AD91" s="7">
        <f t="shared" si="32"/>
        <v>8.4318214154681798E-2</v>
      </c>
      <c r="AE91" s="7">
        <f t="shared" si="33"/>
        <v>-9.5364813435375451E-2</v>
      </c>
      <c r="AF91" s="7">
        <f t="shared" si="34"/>
        <v>0.5303918422122913</v>
      </c>
    </row>
    <row r="92" spans="1:32" x14ac:dyDescent="0.3">
      <c r="A92" s="1">
        <v>37438</v>
      </c>
      <c r="B92">
        <f>AEP!F92</f>
        <v>13.510916</v>
      </c>
      <c r="C92">
        <f>DFSVX!F92</f>
        <v>5.3430980000000003</v>
      </c>
      <c r="D92">
        <f>DFLVX!F92</f>
        <v>6.8222849999999999</v>
      </c>
      <c r="E92">
        <f>FSAGX!F92</f>
        <v>8.6260870000000001</v>
      </c>
      <c r="F92" s="5">
        <f>'FRED Graph'!B102</f>
        <v>1.96</v>
      </c>
      <c r="G92" s="9">
        <f t="shared" si="19"/>
        <v>1.9599999999999999E-2</v>
      </c>
      <c r="H92" s="10">
        <f t="shared" si="24"/>
        <v>-0.22762542246911133</v>
      </c>
      <c r="I92" s="10">
        <f t="shared" si="25"/>
        <v>-5.5158592691344439E-2</v>
      </c>
      <c r="J92" s="10">
        <f t="shared" si="26"/>
        <v>-0.15636152516341575</v>
      </c>
      <c r="K92" s="10">
        <f t="shared" si="26"/>
        <v>0.39244278911258246</v>
      </c>
      <c r="L92" s="10">
        <f t="shared" si="27"/>
        <v>-0.29812542246911133</v>
      </c>
      <c r="M92" s="10">
        <f t="shared" si="28"/>
        <v>-0.12565859269134444</v>
      </c>
      <c r="N92" s="10">
        <f t="shared" si="29"/>
        <v>-0.22686152516341573</v>
      </c>
      <c r="O92" s="10">
        <f t="shared" si="30"/>
        <v>0.32194278911258245</v>
      </c>
      <c r="Y92" s="7">
        <f t="shared" si="20"/>
        <v>-0.22762542246911133</v>
      </c>
      <c r="Z92" s="7">
        <f t="shared" si="21"/>
        <v>-5.5158592691344439E-2</v>
      </c>
      <c r="AA92" s="7">
        <f t="shared" si="22"/>
        <v>-0.15636152516341575</v>
      </c>
      <c r="AB92" s="7">
        <f t="shared" si="23"/>
        <v>0.39244278911258246</v>
      </c>
      <c r="AC92" s="7">
        <f t="shared" si="31"/>
        <v>-0.27852542246911133</v>
      </c>
      <c r="AD92" s="7">
        <f t="shared" si="32"/>
        <v>-0.10605859269134443</v>
      </c>
      <c r="AE92" s="7">
        <f t="shared" si="33"/>
        <v>-0.20726152516341576</v>
      </c>
      <c r="AF92" s="7">
        <f t="shared" si="34"/>
        <v>0.34154278911258246</v>
      </c>
    </row>
    <row r="93" spans="1:32" x14ac:dyDescent="0.3">
      <c r="A93" s="1">
        <v>37469</v>
      </c>
      <c r="B93">
        <f>AEP!F93</f>
        <v>13.999454</v>
      </c>
      <c r="C93">
        <f>DFSVX!F93</f>
        <v>5.2760410000000002</v>
      </c>
      <c r="D93">
        <f>DFLVX!F93</f>
        <v>6.9325669999999997</v>
      </c>
      <c r="E93">
        <f>FSAGX!F93</f>
        <v>10.183109999999999</v>
      </c>
      <c r="F93" s="5">
        <f>'FRED Graph'!B103</f>
        <v>1.76</v>
      </c>
      <c r="G93" s="9">
        <f t="shared" si="19"/>
        <v>1.7600000000000001E-2</v>
      </c>
      <c r="H93" s="10">
        <f t="shared" si="24"/>
        <v>-0.2131609361659221</v>
      </c>
      <c r="I93" s="10">
        <f t="shared" si="25"/>
        <v>-5.4323291660669584E-2</v>
      </c>
      <c r="J93" s="10">
        <f t="shared" si="26"/>
        <v>-0.10311207077228007</v>
      </c>
      <c r="K93" s="10">
        <f t="shared" si="26"/>
        <v>0.55614413562498521</v>
      </c>
      <c r="L93" s="10">
        <f t="shared" si="27"/>
        <v>-0.28366093616592208</v>
      </c>
      <c r="M93" s="10">
        <f t="shared" si="28"/>
        <v>-0.12482329166066958</v>
      </c>
      <c r="N93" s="10">
        <f t="shared" si="29"/>
        <v>-0.17361207077228008</v>
      </c>
      <c r="O93" s="10">
        <f t="shared" si="30"/>
        <v>0.48564413562498521</v>
      </c>
      <c r="Y93" s="7">
        <f t="shared" si="20"/>
        <v>-0.2131609361659221</v>
      </c>
      <c r="Z93" s="7">
        <f t="shared" si="21"/>
        <v>-5.4323291660669584E-2</v>
      </c>
      <c r="AA93" s="7">
        <f t="shared" si="22"/>
        <v>-0.10311207077228007</v>
      </c>
      <c r="AB93" s="7">
        <f t="shared" si="23"/>
        <v>0.55614413562498521</v>
      </c>
      <c r="AC93" s="7">
        <f t="shared" si="31"/>
        <v>-0.26406093616592208</v>
      </c>
      <c r="AD93" s="7">
        <f t="shared" si="32"/>
        <v>-0.10522329166066959</v>
      </c>
      <c r="AE93" s="7">
        <f t="shared" si="33"/>
        <v>-0.15401207077228007</v>
      </c>
      <c r="AF93" s="7">
        <f t="shared" si="34"/>
        <v>0.50524413562498527</v>
      </c>
    </row>
    <row r="94" spans="1:32" x14ac:dyDescent="0.3">
      <c r="A94" s="1">
        <v>37500</v>
      </c>
      <c r="B94">
        <f>AEP!F94</f>
        <v>11.926766000000001</v>
      </c>
      <c r="C94">
        <f>DFSVX!F94</f>
        <v>4.8919940000000004</v>
      </c>
      <c r="D94">
        <f>DFLVX!F94</f>
        <v>6.1405620000000001</v>
      </c>
      <c r="E94">
        <f>FSAGX!F94</f>
        <v>10.423389999999999</v>
      </c>
      <c r="F94" s="5">
        <f>'FRED Graph'!B104</f>
        <v>1.72</v>
      </c>
      <c r="G94" s="9">
        <f t="shared" si="19"/>
        <v>1.72E-2</v>
      </c>
      <c r="H94" s="10">
        <f t="shared" si="24"/>
        <v>-0.2996186085127106</v>
      </c>
      <c r="I94" s="10">
        <f t="shared" si="25"/>
        <v>2.6238336803779707E-2</v>
      </c>
      <c r="J94" s="10">
        <f t="shared" si="26"/>
        <v>-0.10269071703062818</v>
      </c>
      <c r="K94" s="10">
        <f t="shared" si="26"/>
        <v>0.56689856338681544</v>
      </c>
      <c r="L94" s="10">
        <f t="shared" si="27"/>
        <v>-0.37011860851271061</v>
      </c>
      <c r="M94" s="10">
        <f t="shared" si="28"/>
        <v>-4.4261663196220283E-2</v>
      </c>
      <c r="N94" s="10">
        <f t="shared" si="29"/>
        <v>-0.17319071703062816</v>
      </c>
      <c r="O94" s="10">
        <f t="shared" si="30"/>
        <v>0.49639856338681543</v>
      </c>
      <c r="Y94" s="7">
        <f t="shared" si="20"/>
        <v>-0.2996186085127106</v>
      </c>
      <c r="Z94" s="7">
        <f t="shared" si="21"/>
        <v>2.6238336803779707E-2</v>
      </c>
      <c r="AA94" s="7">
        <f t="shared" si="22"/>
        <v>-0.10269071703062818</v>
      </c>
      <c r="AB94" s="7">
        <f t="shared" si="23"/>
        <v>0.56689856338681544</v>
      </c>
      <c r="AC94" s="7">
        <f t="shared" si="31"/>
        <v>-0.35051860851271061</v>
      </c>
      <c r="AD94" s="7">
        <f t="shared" si="32"/>
        <v>-2.4661663196220294E-2</v>
      </c>
      <c r="AE94" s="7">
        <f t="shared" si="33"/>
        <v>-0.15359071703062818</v>
      </c>
      <c r="AF94" s="7">
        <f t="shared" si="34"/>
        <v>0.51599856338681538</v>
      </c>
    </row>
    <row r="95" spans="1:32" x14ac:dyDescent="0.3">
      <c r="A95" s="1">
        <v>37530</v>
      </c>
      <c r="B95">
        <f>AEP!F95</f>
        <v>10.726141999999999</v>
      </c>
      <c r="C95">
        <f>DFSVX!F95</f>
        <v>4.9712430000000003</v>
      </c>
      <c r="D95">
        <f>DFLVX!F95</f>
        <v>6.4022129999999997</v>
      </c>
      <c r="E95">
        <f>FSAGX!F95</f>
        <v>9.3325130000000005</v>
      </c>
      <c r="F95" s="5">
        <f>'FRED Graph'!B105</f>
        <v>1.65</v>
      </c>
      <c r="G95" s="9">
        <f t="shared" si="19"/>
        <v>1.6500000000000001E-2</v>
      </c>
      <c r="H95" s="10">
        <f t="shared" si="24"/>
        <v>-0.35012992382455416</v>
      </c>
      <c r="I95" s="10">
        <f t="shared" si="25"/>
        <v>3.4494284998004411E-3</v>
      </c>
      <c r="J95" s="10">
        <f t="shared" si="26"/>
        <v>-6.7245405950374218E-2</v>
      </c>
      <c r="K95" s="10">
        <f t="shared" si="26"/>
        <v>0.4302813707815954</v>
      </c>
      <c r="L95" s="10">
        <f t="shared" si="27"/>
        <v>-0.42062992382455416</v>
      </c>
      <c r="M95" s="10">
        <f t="shared" si="28"/>
        <v>-6.7050571500199552E-2</v>
      </c>
      <c r="N95" s="10">
        <f t="shared" si="29"/>
        <v>-0.13774540595037421</v>
      </c>
      <c r="O95" s="10">
        <f t="shared" si="30"/>
        <v>0.35978137078159539</v>
      </c>
      <c r="Y95" s="7">
        <f t="shared" si="20"/>
        <v>-0.35012992382455416</v>
      </c>
      <c r="Z95" s="7">
        <f t="shared" si="21"/>
        <v>3.4494284998004411E-3</v>
      </c>
      <c r="AA95" s="7">
        <f t="shared" si="22"/>
        <v>-6.7245405950374218E-2</v>
      </c>
      <c r="AB95" s="7">
        <f t="shared" si="23"/>
        <v>0.4302813707815954</v>
      </c>
      <c r="AC95" s="7">
        <f t="shared" si="31"/>
        <v>-0.40102992382455416</v>
      </c>
      <c r="AD95" s="7">
        <f t="shared" si="32"/>
        <v>-4.7450571500199559E-2</v>
      </c>
      <c r="AE95" s="7">
        <f t="shared" si="33"/>
        <v>-0.11814540595037422</v>
      </c>
      <c r="AF95" s="7">
        <f t="shared" si="34"/>
        <v>0.3793813707815954</v>
      </c>
    </row>
    <row r="96" spans="1:32" x14ac:dyDescent="0.3">
      <c r="A96" s="1">
        <v>37561</v>
      </c>
      <c r="B96">
        <f>AEP!F96</f>
        <v>11.889119000000001</v>
      </c>
      <c r="C96">
        <f>DFSVX!F96</f>
        <v>5.4314869999999997</v>
      </c>
      <c r="D96">
        <f>DFLVX!F96</f>
        <v>6.839753</v>
      </c>
      <c r="E96">
        <f>FSAGX!F96</f>
        <v>9.1835369999999994</v>
      </c>
      <c r="F96" s="5">
        <f>'FRED Graph'!B106</f>
        <v>1.49</v>
      </c>
      <c r="G96" s="9">
        <f t="shared" si="19"/>
        <v>1.49E-2</v>
      </c>
      <c r="H96" s="10">
        <f t="shared" si="24"/>
        <v>-0.26831715121528049</v>
      </c>
      <c r="I96" s="10">
        <f t="shared" si="25"/>
        <v>1.6889600329509206E-2</v>
      </c>
      <c r="J96" s="10">
        <f t="shared" si="26"/>
        <v>-8.9232596157674413E-2</v>
      </c>
      <c r="K96" s="10">
        <f t="shared" si="26"/>
        <v>0.37564303019826489</v>
      </c>
      <c r="L96" s="10">
        <f t="shared" si="27"/>
        <v>-0.3388171512152805</v>
      </c>
      <c r="M96" s="10">
        <f t="shared" si="28"/>
        <v>-5.3610399670490791E-2</v>
      </c>
      <c r="N96" s="10">
        <f t="shared" si="29"/>
        <v>-0.15973259615767441</v>
      </c>
      <c r="O96" s="10">
        <f t="shared" si="30"/>
        <v>0.30514303019826489</v>
      </c>
      <c r="Y96" s="7">
        <f t="shared" si="20"/>
        <v>-0.26831715121528049</v>
      </c>
      <c r="Z96" s="7">
        <f t="shared" si="21"/>
        <v>1.6889600329509206E-2</v>
      </c>
      <c r="AA96" s="7">
        <f t="shared" si="22"/>
        <v>-8.9232596157674413E-2</v>
      </c>
      <c r="AB96" s="7">
        <f t="shared" si="23"/>
        <v>0.37564303019826489</v>
      </c>
      <c r="AC96" s="7">
        <f t="shared" si="31"/>
        <v>-0.31921715121528049</v>
      </c>
      <c r="AD96" s="7">
        <f t="shared" si="32"/>
        <v>-3.4010399670490798E-2</v>
      </c>
      <c r="AE96" s="7">
        <f t="shared" si="33"/>
        <v>-0.14013259615767443</v>
      </c>
      <c r="AF96" s="7">
        <f t="shared" si="34"/>
        <v>0.32474303019826489</v>
      </c>
    </row>
    <row r="97" spans="1:32" x14ac:dyDescent="0.3">
      <c r="A97" s="1">
        <v>37591</v>
      </c>
      <c r="B97">
        <f>AEP!F97</f>
        <v>11.683126</v>
      </c>
      <c r="C97">
        <f>DFSVX!F97</f>
        <v>4.6847320000000003</v>
      </c>
      <c r="D97">
        <f>DFLVX!F97</f>
        <v>6.5078269999999998</v>
      </c>
      <c r="E97">
        <f>FSAGX!F97</f>
        <v>11.495042</v>
      </c>
      <c r="F97" s="5">
        <f>'FRED Graph'!B107</f>
        <v>1.45</v>
      </c>
      <c r="G97" s="9">
        <f t="shared" si="19"/>
        <v>1.4499999999999999E-2</v>
      </c>
      <c r="H97" s="10">
        <f t="shared" si="24"/>
        <v>-0.32793505079750696</v>
      </c>
      <c r="I97" s="10">
        <f t="shared" si="25"/>
        <v>-1.5673434500297945E-2</v>
      </c>
      <c r="J97" s="10">
        <f t="shared" si="26"/>
        <v>-4.5705862832847867E-2</v>
      </c>
      <c r="K97" s="10">
        <f t="shared" si="26"/>
        <v>0.64632110520089481</v>
      </c>
      <c r="L97" s="10">
        <f t="shared" si="27"/>
        <v>-0.39843505079750696</v>
      </c>
      <c r="M97" s="10">
        <f t="shared" si="28"/>
        <v>-8.6173434500297935E-2</v>
      </c>
      <c r="N97" s="10">
        <f t="shared" si="29"/>
        <v>-0.11620586283284787</v>
      </c>
      <c r="O97" s="10">
        <f t="shared" si="30"/>
        <v>0.5758211052008948</v>
      </c>
      <c r="Y97" s="7">
        <f t="shared" si="20"/>
        <v>-0.32793505079750696</v>
      </c>
      <c r="Z97" s="7">
        <f t="shared" si="21"/>
        <v>-1.5673434500297945E-2</v>
      </c>
      <c r="AA97" s="7">
        <f t="shared" si="22"/>
        <v>-4.5705862832847867E-2</v>
      </c>
      <c r="AB97" s="7">
        <f t="shared" si="23"/>
        <v>0.64632110520089481</v>
      </c>
      <c r="AC97" s="7">
        <f t="shared" si="31"/>
        <v>-0.37883505079750696</v>
      </c>
      <c r="AD97" s="7">
        <f t="shared" si="32"/>
        <v>-6.6573434500297943E-2</v>
      </c>
      <c r="AE97" s="7">
        <f t="shared" si="33"/>
        <v>-9.6605862832847861E-2</v>
      </c>
      <c r="AF97" s="7">
        <f t="shared" si="34"/>
        <v>0.59542110520089486</v>
      </c>
    </row>
    <row r="98" spans="1:32" x14ac:dyDescent="0.3">
      <c r="A98" s="1">
        <v>37622</v>
      </c>
      <c r="B98">
        <f>AEP!F98</f>
        <v>10.097162000000001</v>
      </c>
      <c r="C98">
        <f>DFSVX!F98</f>
        <v>5.031968</v>
      </c>
      <c r="D98">
        <f>DFLVX!F98</f>
        <v>6.391883</v>
      </c>
      <c r="E98">
        <f>FSAGX!F98</f>
        <v>11.613899</v>
      </c>
      <c r="F98" s="5">
        <f>'FRED Graph'!B108</f>
        <v>1.36</v>
      </c>
      <c r="G98" s="9">
        <f t="shared" si="19"/>
        <v>1.3600000000000001E-2</v>
      </c>
      <c r="H98" s="10">
        <f t="shared" si="24"/>
        <v>-0.39425773706792211</v>
      </c>
      <c r="I98" s="10">
        <f t="shared" si="25"/>
        <v>-0.13564246976962452</v>
      </c>
      <c r="J98" s="10">
        <f t="shared" si="26"/>
        <v>-0.17730422423143402</v>
      </c>
      <c r="K98" s="10">
        <f t="shared" si="26"/>
        <v>0.46063630166791164</v>
      </c>
      <c r="L98" s="10">
        <f t="shared" si="27"/>
        <v>-0.46475773706792212</v>
      </c>
      <c r="M98" s="10">
        <f t="shared" si="28"/>
        <v>-0.20614246976962453</v>
      </c>
      <c r="N98" s="10">
        <f t="shared" si="29"/>
        <v>-0.247804224231434</v>
      </c>
      <c r="O98" s="10">
        <f t="shared" si="30"/>
        <v>0.39013630166791163</v>
      </c>
      <c r="Y98" s="7">
        <f t="shared" si="20"/>
        <v>-0.39425773706792211</v>
      </c>
      <c r="Z98" s="7">
        <f t="shared" si="21"/>
        <v>-0.13564246976962452</v>
      </c>
      <c r="AA98" s="7">
        <f t="shared" si="22"/>
        <v>-0.17730422423143402</v>
      </c>
      <c r="AB98" s="7">
        <f t="shared" si="23"/>
        <v>0.46063630166791164</v>
      </c>
      <c r="AC98" s="7">
        <f t="shared" si="31"/>
        <v>-0.44515773706792211</v>
      </c>
      <c r="AD98" s="7">
        <f t="shared" si="32"/>
        <v>-0.18654246976962452</v>
      </c>
      <c r="AE98" s="7">
        <f t="shared" si="33"/>
        <v>-0.22820422423143402</v>
      </c>
      <c r="AF98" s="7">
        <f t="shared" si="34"/>
        <v>0.40973630166791164</v>
      </c>
    </row>
    <row r="99" spans="1:32" x14ac:dyDescent="0.3">
      <c r="A99" s="1">
        <v>37653</v>
      </c>
      <c r="B99">
        <f>AEP!F99</f>
        <v>9.3105899999999995</v>
      </c>
      <c r="C99">
        <f>DFSVX!F99</f>
        <v>4.8251309999999998</v>
      </c>
      <c r="D99">
        <f>DFLVX!F99</f>
        <v>6.2047829999999999</v>
      </c>
      <c r="E99">
        <f>FSAGX!F99</f>
        <v>11.022294</v>
      </c>
      <c r="F99" s="5">
        <f>'FRED Graph'!B109</f>
        <v>1.3</v>
      </c>
      <c r="G99" s="9">
        <f t="shared" si="19"/>
        <v>1.3000000000000001E-2</v>
      </c>
      <c r="H99" s="10">
        <f t="shared" si="24"/>
        <v>-0.4683220238527262</v>
      </c>
      <c r="I99" s="10">
        <f t="shared" si="25"/>
        <v>-0.16986779320720827</v>
      </c>
      <c r="J99" s="10">
        <f t="shared" si="26"/>
        <v>-0.21151412627245486</v>
      </c>
      <c r="K99" s="10">
        <f t="shared" si="26"/>
        <v>0.26697840262906541</v>
      </c>
      <c r="L99" s="10">
        <f t="shared" si="27"/>
        <v>-0.53882202385272615</v>
      </c>
      <c r="M99" s="10">
        <f t="shared" si="28"/>
        <v>-0.24036779320720825</v>
      </c>
      <c r="N99" s="10">
        <f t="shared" si="29"/>
        <v>-0.28201412627245487</v>
      </c>
      <c r="O99" s="10">
        <f t="shared" si="30"/>
        <v>0.19647840262906541</v>
      </c>
      <c r="Y99" s="7">
        <f t="shared" si="20"/>
        <v>-0.4683220238527262</v>
      </c>
      <c r="Z99" s="7">
        <f t="shared" si="21"/>
        <v>-0.16986779320720827</v>
      </c>
      <c r="AA99" s="7">
        <f t="shared" si="22"/>
        <v>-0.21151412627245486</v>
      </c>
      <c r="AB99" s="7">
        <f t="shared" si="23"/>
        <v>0.26697840262906541</v>
      </c>
      <c r="AC99" s="7">
        <f t="shared" si="31"/>
        <v>-0.5192220238527262</v>
      </c>
      <c r="AD99" s="7">
        <f t="shared" si="32"/>
        <v>-0.22076779320720827</v>
      </c>
      <c r="AE99" s="7">
        <f t="shared" si="33"/>
        <v>-0.26241412627245486</v>
      </c>
      <c r="AF99" s="7">
        <f t="shared" si="34"/>
        <v>0.21607840262906541</v>
      </c>
    </row>
    <row r="100" spans="1:32" x14ac:dyDescent="0.3">
      <c r="A100" s="1">
        <v>37681</v>
      </c>
      <c r="B100">
        <f>AEP!F100</f>
        <v>10.033678</v>
      </c>
      <c r="C100">
        <f>DFSVX!F100</f>
        <v>4.8149579999999998</v>
      </c>
      <c r="D100">
        <f>DFLVX!F100</f>
        <v>6.1592710000000004</v>
      </c>
      <c r="E100">
        <f>FSAGX!F100</f>
        <v>9.921519</v>
      </c>
      <c r="F100" s="5">
        <f>'FRED Graph'!B110</f>
        <v>1.24</v>
      </c>
      <c r="G100" s="9">
        <f t="shared" si="19"/>
        <v>1.24E-2</v>
      </c>
      <c r="H100" s="10">
        <f t="shared" si="24"/>
        <v>-0.46277760281467734</v>
      </c>
      <c r="I100" s="10">
        <f t="shared" si="25"/>
        <v>-0.24595490034929118</v>
      </c>
      <c r="J100" s="10">
        <f t="shared" si="26"/>
        <v>-0.2473646702932667</v>
      </c>
      <c r="K100" s="10">
        <f t="shared" si="26"/>
        <v>3.5481196473974824E-2</v>
      </c>
      <c r="L100" s="10">
        <f t="shared" si="27"/>
        <v>-0.53327760281467729</v>
      </c>
      <c r="M100" s="10">
        <f t="shared" si="28"/>
        <v>-0.31645490034929119</v>
      </c>
      <c r="N100" s="10">
        <f t="shared" si="29"/>
        <v>-0.3178646702932667</v>
      </c>
      <c r="O100" s="10">
        <f t="shared" si="30"/>
        <v>-3.5018803526025169E-2</v>
      </c>
      <c r="Y100" s="7">
        <f t="shared" si="20"/>
        <v>-0.46277760281467734</v>
      </c>
      <c r="Z100" s="7">
        <f t="shared" si="21"/>
        <v>-0.24595490034929118</v>
      </c>
      <c r="AA100" s="7">
        <f t="shared" si="22"/>
        <v>-0.2473646702932667</v>
      </c>
      <c r="AB100" s="7">
        <f t="shared" si="23"/>
        <v>3.5481196473974824E-2</v>
      </c>
      <c r="AC100" s="7">
        <f t="shared" si="31"/>
        <v>-0.51367760281467734</v>
      </c>
      <c r="AD100" s="7">
        <f t="shared" si="32"/>
        <v>-0.29685490034929118</v>
      </c>
      <c r="AE100" s="7">
        <f t="shared" si="33"/>
        <v>-0.2982646702932667</v>
      </c>
      <c r="AF100" s="7">
        <f t="shared" si="34"/>
        <v>-1.5418803526025177E-2</v>
      </c>
    </row>
    <row r="101" spans="1:32" x14ac:dyDescent="0.3">
      <c r="A101" s="1">
        <v>37712</v>
      </c>
      <c r="B101">
        <f>AEP!F101</f>
        <v>11.583729999999999</v>
      </c>
      <c r="C101">
        <f>DFSVX!F101</f>
        <v>5.3235809999999999</v>
      </c>
      <c r="D101">
        <f>DFLVX!F101</f>
        <v>6.7430729999999999</v>
      </c>
      <c r="E101">
        <f>FSAGX!F101</f>
        <v>9.6354150000000001</v>
      </c>
      <c r="F101" s="5">
        <f>'FRED Graph'!B111</f>
        <v>1.27</v>
      </c>
      <c r="G101" s="9">
        <f t="shared" si="19"/>
        <v>1.2699999999999999E-2</v>
      </c>
      <c r="H101" s="10">
        <f t="shared" si="24"/>
        <v>-0.3758576836140019</v>
      </c>
      <c r="I101" s="10">
        <f t="shared" si="25"/>
        <v>-0.20246670515821735</v>
      </c>
      <c r="J101" s="10">
        <f t="shared" si="26"/>
        <v>-0.16973047130060318</v>
      </c>
      <c r="K101" s="10">
        <f t="shared" si="26"/>
        <v>-2.8688493604589884E-2</v>
      </c>
      <c r="L101" s="10">
        <f t="shared" si="27"/>
        <v>-0.44635768361400191</v>
      </c>
      <c r="M101" s="10">
        <f t="shared" si="28"/>
        <v>-0.27296670515821736</v>
      </c>
      <c r="N101" s="10">
        <f t="shared" si="29"/>
        <v>-0.24023047130060315</v>
      </c>
      <c r="O101" s="10">
        <f t="shared" si="30"/>
        <v>-9.9188493604589881E-2</v>
      </c>
      <c r="Y101" s="7">
        <f t="shared" si="20"/>
        <v>-0.3758576836140019</v>
      </c>
      <c r="Z101" s="7">
        <f t="shared" si="21"/>
        <v>-0.20246670515821735</v>
      </c>
      <c r="AA101" s="7">
        <f t="shared" si="22"/>
        <v>-0.16973047130060318</v>
      </c>
      <c r="AB101" s="7">
        <f t="shared" si="23"/>
        <v>-2.8688493604589884E-2</v>
      </c>
      <c r="AC101" s="7">
        <f t="shared" si="31"/>
        <v>-0.4267576836140019</v>
      </c>
      <c r="AD101" s="7">
        <f t="shared" si="32"/>
        <v>-0.25336670515821735</v>
      </c>
      <c r="AE101" s="7">
        <f t="shared" si="33"/>
        <v>-0.22063047130060318</v>
      </c>
      <c r="AF101" s="7">
        <f t="shared" si="34"/>
        <v>-7.9588493604589888E-2</v>
      </c>
    </row>
    <row r="102" spans="1:32" x14ac:dyDescent="0.3">
      <c r="A102" s="1">
        <v>37742</v>
      </c>
      <c r="B102">
        <f>AEP!F102</f>
        <v>12.751763</v>
      </c>
      <c r="C102">
        <f>DFSVX!F102</f>
        <v>5.9474869999999997</v>
      </c>
      <c r="D102">
        <f>DFLVX!F102</f>
        <v>7.1943020000000004</v>
      </c>
      <c r="E102">
        <f>FSAGX!F102</f>
        <v>11.010712</v>
      </c>
      <c r="F102" s="5">
        <f>'FRED Graph'!B112</f>
        <v>1.18</v>
      </c>
      <c r="G102" s="9">
        <f t="shared" si="19"/>
        <v>1.18E-2</v>
      </c>
      <c r="H102" s="10">
        <f t="shared" si="24"/>
        <v>-0.26355909239594455</v>
      </c>
      <c r="I102" s="10">
        <f t="shared" si="25"/>
        <v>-8.001283885687778E-2</v>
      </c>
      <c r="J102" s="10">
        <f t="shared" si="26"/>
        <v>-0.11958860055830474</v>
      </c>
      <c r="K102" s="10">
        <f t="shared" si="26"/>
        <v>-5.5168661224526953E-2</v>
      </c>
      <c r="L102" s="10">
        <f t="shared" si="27"/>
        <v>-0.33405909239594456</v>
      </c>
      <c r="M102" s="10">
        <f t="shared" si="28"/>
        <v>-0.15051283885687777</v>
      </c>
      <c r="N102" s="10">
        <f t="shared" si="29"/>
        <v>-0.19008860055830473</v>
      </c>
      <c r="O102" s="10">
        <f t="shared" si="30"/>
        <v>-0.12566866122452694</v>
      </c>
      <c r="Y102" s="7">
        <f t="shared" si="20"/>
        <v>-0.26355909239594455</v>
      </c>
      <c r="Z102" s="7">
        <f t="shared" si="21"/>
        <v>-8.001283885687778E-2</v>
      </c>
      <c r="AA102" s="7">
        <f t="shared" si="22"/>
        <v>-0.11958860055830474</v>
      </c>
      <c r="AB102" s="7">
        <f t="shared" si="23"/>
        <v>-5.5168661224526953E-2</v>
      </c>
      <c r="AC102" s="7">
        <f t="shared" si="31"/>
        <v>-0.31445909239594455</v>
      </c>
      <c r="AD102" s="7">
        <f t="shared" si="32"/>
        <v>-0.13091283885687777</v>
      </c>
      <c r="AE102" s="7">
        <f t="shared" si="33"/>
        <v>-0.17048860055830473</v>
      </c>
      <c r="AF102" s="7">
        <f t="shared" si="34"/>
        <v>-0.10606866122452696</v>
      </c>
    </row>
    <row r="103" spans="1:32" x14ac:dyDescent="0.3">
      <c r="A103" s="1">
        <v>37773</v>
      </c>
      <c r="B103">
        <f>AEP!F103</f>
        <v>13.279163</v>
      </c>
      <c r="C103">
        <f>DFSVX!F103</f>
        <v>6.164504</v>
      </c>
      <c r="D103">
        <f>DFLVX!F103</f>
        <v>7.2500710000000002</v>
      </c>
      <c r="E103">
        <f>FSAGX!F103</f>
        <v>11.170144000000001</v>
      </c>
      <c r="F103" s="5">
        <f>'FRED Graph'!B113</f>
        <v>1.01</v>
      </c>
      <c r="G103" s="9">
        <f t="shared" si="19"/>
        <v>1.01E-2</v>
      </c>
      <c r="H103" s="10">
        <f t="shared" si="24"/>
        <v>-0.19176626939190877</v>
      </c>
      <c r="I103" s="10">
        <f t="shared" si="25"/>
        <v>-2.624346788208844E-2</v>
      </c>
      <c r="J103" s="10">
        <f t="shared" si="26"/>
        <v>-5.2494926323380389E-2</v>
      </c>
      <c r="K103" s="10">
        <f t="shared" si="26"/>
        <v>7.5609252084700415E-2</v>
      </c>
      <c r="L103" s="10">
        <f t="shared" si="27"/>
        <v>-0.26226626939190878</v>
      </c>
      <c r="M103" s="10">
        <f t="shared" si="28"/>
        <v>-9.674346788208843E-2</v>
      </c>
      <c r="N103" s="10">
        <f t="shared" si="29"/>
        <v>-0.12299492632338038</v>
      </c>
      <c r="O103" s="10">
        <f t="shared" si="30"/>
        <v>5.1092520847004219E-3</v>
      </c>
      <c r="Y103" s="7">
        <f t="shared" si="20"/>
        <v>-0.19176626939190877</v>
      </c>
      <c r="Z103" s="7">
        <f t="shared" si="21"/>
        <v>-2.624346788208844E-2</v>
      </c>
      <c r="AA103" s="7">
        <f t="shared" si="22"/>
        <v>-5.2494926323380389E-2</v>
      </c>
      <c r="AB103" s="7">
        <f t="shared" si="23"/>
        <v>7.5609252084700415E-2</v>
      </c>
      <c r="AC103" s="7">
        <f t="shared" si="31"/>
        <v>-0.24266626939190877</v>
      </c>
      <c r="AD103" s="7">
        <f t="shared" si="32"/>
        <v>-7.7143467882088437E-2</v>
      </c>
      <c r="AE103" s="7">
        <f t="shared" si="33"/>
        <v>-0.10339492632338039</v>
      </c>
      <c r="AF103" s="7">
        <f t="shared" si="34"/>
        <v>2.4709252084700414E-2</v>
      </c>
    </row>
    <row r="104" spans="1:32" x14ac:dyDescent="0.3">
      <c r="A104" s="1">
        <v>37803</v>
      </c>
      <c r="B104">
        <f>AEP!F104</f>
        <v>12.491224000000001</v>
      </c>
      <c r="C104">
        <f>DFSVX!F104</f>
        <v>6.5985240000000003</v>
      </c>
      <c r="D104">
        <f>DFLVX!F104</f>
        <v>7.4549469999999998</v>
      </c>
      <c r="E104">
        <f>FSAGX!F104</f>
        <v>11.698259</v>
      </c>
      <c r="F104" s="5">
        <f>'FRED Graph'!B114</f>
        <v>1.1200000000000001</v>
      </c>
      <c r="G104" s="9">
        <f t="shared" si="19"/>
        <v>1.1200000000000002E-2</v>
      </c>
      <c r="H104" s="10">
        <f t="shared" si="24"/>
        <v>-7.5471714871145609E-2</v>
      </c>
      <c r="I104" s="10">
        <f t="shared" si="25"/>
        <v>0.23496218860294157</v>
      </c>
      <c r="J104" s="10">
        <f t="shared" si="26"/>
        <v>9.273461897296871E-2</v>
      </c>
      <c r="K104" s="10">
        <f t="shared" si="26"/>
        <v>0.35614896997908785</v>
      </c>
      <c r="L104" s="10">
        <f t="shared" si="27"/>
        <v>-0.1459717148711456</v>
      </c>
      <c r="M104" s="10">
        <f t="shared" si="28"/>
        <v>0.16446218860294159</v>
      </c>
      <c r="N104" s="10">
        <f t="shared" si="29"/>
        <v>2.2234618972968717E-2</v>
      </c>
      <c r="O104" s="10">
        <f t="shared" si="30"/>
        <v>0.28564896997908784</v>
      </c>
      <c r="Y104" s="7">
        <f t="shared" si="20"/>
        <v>-7.5471714871145609E-2</v>
      </c>
      <c r="Z104" s="7">
        <f t="shared" si="21"/>
        <v>0.23496218860294157</v>
      </c>
      <c r="AA104" s="7">
        <f t="shared" si="22"/>
        <v>9.273461897296871E-2</v>
      </c>
      <c r="AB104" s="7">
        <f t="shared" si="23"/>
        <v>0.35614896997908785</v>
      </c>
      <c r="AC104" s="7">
        <f t="shared" si="31"/>
        <v>-0.12637171487114562</v>
      </c>
      <c r="AD104" s="7">
        <f t="shared" si="32"/>
        <v>0.18406218860294157</v>
      </c>
      <c r="AE104" s="7">
        <f t="shared" si="33"/>
        <v>4.183461897296871E-2</v>
      </c>
      <c r="AF104" s="7">
        <f t="shared" si="34"/>
        <v>0.30524896997908785</v>
      </c>
    </row>
    <row r="105" spans="1:32" x14ac:dyDescent="0.3">
      <c r="A105" s="1">
        <v>37834</v>
      </c>
      <c r="B105">
        <f>AEP!F105</f>
        <v>12.602511</v>
      </c>
      <c r="C105">
        <f>DFSVX!F105</f>
        <v>6.937608</v>
      </c>
      <c r="D105">
        <f>DFLVX!F105</f>
        <v>7.719379</v>
      </c>
      <c r="E105">
        <f>FSAGX!F105</f>
        <v>12.983670999999999</v>
      </c>
      <c r="F105" s="5">
        <f>'FRED Graph'!B115</f>
        <v>1.31</v>
      </c>
      <c r="G105" s="9">
        <f t="shared" si="19"/>
        <v>1.3100000000000001E-2</v>
      </c>
      <c r="H105" s="10">
        <f t="shared" si="24"/>
        <v>-9.9785534492988104E-2</v>
      </c>
      <c r="I105" s="10">
        <f t="shared" si="25"/>
        <v>0.31492685519312674</v>
      </c>
      <c r="J105" s="10">
        <f t="shared" si="26"/>
        <v>0.11349504447631019</v>
      </c>
      <c r="K105" s="10">
        <f t="shared" si="26"/>
        <v>0.27502020502577312</v>
      </c>
      <c r="L105" s="10">
        <f t="shared" si="27"/>
        <v>-0.17028553449298811</v>
      </c>
      <c r="M105" s="10">
        <f t="shared" si="28"/>
        <v>0.24442685519312674</v>
      </c>
      <c r="N105" s="10">
        <f t="shared" si="29"/>
        <v>4.2995044476310196E-2</v>
      </c>
      <c r="O105" s="10">
        <f t="shared" si="30"/>
        <v>0.20452020502577312</v>
      </c>
      <c r="Y105" s="7">
        <f t="shared" si="20"/>
        <v>-9.9785534492988104E-2</v>
      </c>
      <c r="Z105" s="7">
        <f t="shared" si="21"/>
        <v>0.31492685519312674</v>
      </c>
      <c r="AA105" s="7">
        <f t="shared" si="22"/>
        <v>0.11349504447631019</v>
      </c>
      <c r="AB105" s="7">
        <f t="shared" si="23"/>
        <v>0.27502020502577312</v>
      </c>
      <c r="AC105" s="7">
        <f t="shared" si="31"/>
        <v>-0.1506855344929881</v>
      </c>
      <c r="AD105" s="7">
        <f t="shared" si="32"/>
        <v>0.26402685519312674</v>
      </c>
      <c r="AE105" s="7">
        <f t="shared" si="33"/>
        <v>6.2595044476310188E-2</v>
      </c>
      <c r="AF105" s="7">
        <f t="shared" si="34"/>
        <v>0.22412020502577312</v>
      </c>
    </row>
    <row r="106" spans="1:32" x14ac:dyDescent="0.3">
      <c r="A106" s="1">
        <v>37865</v>
      </c>
      <c r="B106">
        <f>AEP!F106</f>
        <v>13.526301999999999</v>
      </c>
      <c r="C106">
        <f>DFSVX!F106</f>
        <v>6.8833529999999996</v>
      </c>
      <c r="D106">
        <f>DFLVX!F106</f>
        <v>7.5261380000000004</v>
      </c>
      <c r="E106">
        <f>FSAGX!F106</f>
        <v>13.143103999999999</v>
      </c>
      <c r="F106" s="5">
        <f>'FRED Graph'!B116</f>
        <v>1.24</v>
      </c>
      <c r="G106" s="9">
        <f t="shared" si="19"/>
        <v>1.24E-2</v>
      </c>
      <c r="H106" s="10">
        <f t="shared" si="24"/>
        <v>0.13411313678829606</v>
      </c>
      <c r="I106" s="10">
        <f t="shared" si="25"/>
        <v>0.40706489010411684</v>
      </c>
      <c r="J106" s="10">
        <f t="shared" si="26"/>
        <v>0.2256431903138508</v>
      </c>
      <c r="K106" s="10">
        <f t="shared" si="26"/>
        <v>0.26092413312751417</v>
      </c>
      <c r="L106" s="10">
        <f t="shared" si="27"/>
        <v>6.3613136788296068E-2</v>
      </c>
      <c r="M106" s="10">
        <f t="shared" si="28"/>
        <v>0.33656489010411683</v>
      </c>
      <c r="N106" s="10">
        <f t="shared" si="29"/>
        <v>0.15514319031385082</v>
      </c>
      <c r="O106" s="10">
        <f t="shared" si="30"/>
        <v>0.19042413312751416</v>
      </c>
      <c r="Y106" s="7">
        <f t="shared" si="20"/>
        <v>0.13411313678829606</v>
      </c>
      <c r="Z106" s="7">
        <f t="shared" si="21"/>
        <v>0.40706489010411684</v>
      </c>
      <c r="AA106" s="7">
        <f t="shared" si="22"/>
        <v>0.2256431903138508</v>
      </c>
      <c r="AB106" s="7">
        <f t="shared" si="23"/>
        <v>0.26092413312751417</v>
      </c>
      <c r="AC106" s="7">
        <f t="shared" si="31"/>
        <v>8.321313678829606E-2</v>
      </c>
      <c r="AD106" s="7">
        <f t="shared" si="32"/>
        <v>0.35616489010411684</v>
      </c>
      <c r="AE106" s="7">
        <f t="shared" si="33"/>
        <v>0.1747431903138508</v>
      </c>
      <c r="AF106" s="7">
        <f t="shared" si="34"/>
        <v>0.21002413312751417</v>
      </c>
    </row>
    <row r="107" spans="1:32" x14ac:dyDescent="0.3">
      <c r="A107" s="1">
        <v>37895</v>
      </c>
      <c r="B107">
        <f>AEP!F107</f>
        <v>12.710217</v>
      </c>
      <c r="C107">
        <f>DFSVX!F107</f>
        <v>7.5716919999999996</v>
      </c>
      <c r="D107">
        <f>DFLVX!F107</f>
        <v>8.0545670000000005</v>
      </c>
      <c r="E107">
        <f>FSAGX!F107</f>
        <v>14.403605000000001</v>
      </c>
      <c r="F107" s="5">
        <f>'FRED Graph'!B117</f>
        <v>1.25</v>
      </c>
      <c r="G107" s="9">
        <f t="shared" si="19"/>
        <v>1.2500000000000001E-2</v>
      </c>
      <c r="H107" s="10">
        <f t="shared" si="24"/>
        <v>0.18497564175450976</v>
      </c>
      <c r="I107" s="10">
        <f t="shared" si="25"/>
        <v>0.52309834783775389</v>
      </c>
      <c r="J107" s="10">
        <f t="shared" si="26"/>
        <v>0.2580910694473928</v>
      </c>
      <c r="K107" s="10">
        <f t="shared" si="26"/>
        <v>0.54337904485104926</v>
      </c>
      <c r="L107" s="10">
        <f t="shared" si="27"/>
        <v>0.11447564175450976</v>
      </c>
      <c r="M107" s="10">
        <f t="shared" si="28"/>
        <v>0.45259834783775388</v>
      </c>
      <c r="N107" s="10">
        <f t="shared" si="29"/>
        <v>0.18759106944739279</v>
      </c>
      <c r="O107" s="10">
        <f t="shared" si="30"/>
        <v>0.47287904485104926</v>
      </c>
      <c r="Y107" s="7">
        <f t="shared" si="20"/>
        <v>0.18497564175450976</v>
      </c>
      <c r="Z107" s="7">
        <f t="shared" si="21"/>
        <v>0.52309834783775389</v>
      </c>
      <c r="AA107" s="7">
        <f t="shared" si="22"/>
        <v>0.2580910694473928</v>
      </c>
      <c r="AB107" s="7">
        <f t="shared" si="23"/>
        <v>0.54337904485104926</v>
      </c>
      <c r="AC107" s="7">
        <f t="shared" si="31"/>
        <v>0.13407564175450976</v>
      </c>
      <c r="AD107" s="7">
        <f t="shared" si="32"/>
        <v>0.47219834783775388</v>
      </c>
      <c r="AE107" s="7">
        <f t="shared" si="33"/>
        <v>0.20719106944739279</v>
      </c>
      <c r="AF107" s="7">
        <f t="shared" si="34"/>
        <v>0.49247904485104926</v>
      </c>
    </row>
    <row r="108" spans="1:32" x14ac:dyDescent="0.3">
      <c r="A108" s="1">
        <v>37926</v>
      </c>
      <c r="B108">
        <f>AEP!F108</f>
        <v>12.484778</v>
      </c>
      <c r="C108">
        <f>DFSVX!F108</f>
        <v>7.8870360000000002</v>
      </c>
      <c r="D108">
        <f>DFLVX!F108</f>
        <v>8.2331029999999998</v>
      </c>
      <c r="E108">
        <f>FSAGX!F108</f>
        <v>15.698985</v>
      </c>
      <c r="F108" s="5">
        <f>'FRED Graph'!B118</f>
        <v>1.34</v>
      </c>
      <c r="G108" s="9">
        <f t="shared" si="19"/>
        <v>1.34E-2</v>
      </c>
      <c r="H108" s="10">
        <f t="shared" si="24"/>
        <v>5.0101189162964847E-2</v>
      </c>
      <c r="I108" s="10">
        <f t="shared" si="25"/>
        <v>0.45209516289001528</v>
      </c>
      <c r="J108" s="10">
        <f t="shared" si="26"/>
        <v>0.20371349667159031</v>
      </c>
      <c r="K108" s="10">
        <f t="shared" si="26"/>
        <v>0.70947043606401339</v>
      </c>
      <c r="L108" s="10">
        <f t="shared" si="27"/>
        <v>-2.0398810837035146E-2</v>
      </c>
      <c r="M108" s="10">
        <f t="shared" si="28"/>
        <v>0.38159516289001527</v>
      </c>
      <c r="N108" s="10">
        <f t="shared" si="29"/>
        <v>0.13321349667159033</v>
      </c>
      <c r="O108" s="10">
        <f t="shared" si="30"/>
        <v>0.63897043606401338</v>
      </c>
      <c r="Y108" s="7">
        <f t="shared" si="20"/>
        <v>5.0101189162964847E-2</v>
      </c>
      <c r="Z108" s="7">
        <f t="shared" si="21"/>
        <v>0.45209516289001528</v>
      </c>
      <c r="AA108" s="7">
        <f t="shared" si="22"/>
        <v>0.20371349667159031</v>
      </c>
      <c r="AB108" s="7">
        <f t="shared" si="23"/>
        <v>0.70947043606401339</v>
      </c>
      <c r="AC108" s="7">
        <f t="shared" si="31"/>
        <v>-7.9881083703515349E-4</v>
      </c>
      <c r="AD108" s="7">
        <f t="shared" si="32"/>
        <v>0.40119516289001528</v>
      </c>
      <c r="AE108" s="7">
        <f t="shared" si="33"/>
        <v>0.1528134966715903</v>
      </c>
      <c r="AF108" s="7">
        <f t="shared" si="34"/>
        <v>0.65857043606401344</v>
      </c>
    </row>
    <row r="109" spans="1:32" x14ac:dyDescent="0.3">
      <c r="A109" s="1">
        <v>37956</v>
      </c>
      <c r="B109">
        <f>AEP!F109</f>
        <v>13.931139999999999</v>
      </c>
      <c r="C109">
        <f>DFSVX!F109</f>
        <v>7.7683580000000001</v>
      </c>
      <c r="D109">
        <f>DFLVX!F109</f>
        <v>8.7534159999999996</v>
      </c>
      <c r="E109">
        <f>FSAGX!F109</f>
        <v>14.861972</v>
      </c>
      <c r="F109" s="5">
        <f>'FRED Graph'!B119</f>
        <v>1.31</v>
      </c>
      <c r="G109" s="9">
        <f t="shared" si="19"/>
        <v>1.3100000000000001E-2</v>
      </c>
      <c r="H109" s="10">
        <f t="shared" si="24"/>
        <v>0.1924154545624176</v>
      </c>
      <c r="I109" s="10">
        <f t="shared" si="25"/>
        <v>0.6582289018880908</v>
      </c>
      <c r="J109" s="10">
        <f t="shared" si="26"/>
        <v>0.34505972577328808</v>
      </c>
      <c r="K109" s="10">
        <f t="shared" si="26"/>
        <v>0.29290280105109662</v>
      </c>
      <c r="L109" s="10">
        <f t="shared" si="27"/>
        <v>0.12191545456241761</v>
      </c>
      <c r="M109" s="10">
        <f t="shared" si="28"/>
        <v>0.58772890188809079</v>
      </c>
      <c r="N109" s="10">
        <f t="shared" si="29"/>
        <v>0.27455972577328808</v>
      </c>
      <c r="O109" s="10">
        <f t="shared" si="30"/>
        <v>0.22240280105109661</v>
      </c>
      <c r="Y109" s="7">
        <f t="shared" si="20"/>
        <v>0.1924154545624176</v>
      </c>
      <c r="Z109" s="7">
        <f t="shared" si="21"/>
        <v>0.6582289018880908</v>
      </c>
      <c r="AA109" s="7">
        <f t="shared" si="22"/>
        <v>0.34505972577328808</v>
      </c>
      <c r="AB109" s="7">
        <f t="shared" si="23"/>
        <v>0.29290280105109662</v>
      </c>
      <c r="AC109" s="7">
        <f t="shared" si="31"/>
        <v>0.1415154545624176</v>
      </c>
      <c r="AD109" s="7">
        <f t="shared" si="32"/>
        <v>0.60732890188809074</v>
      </c>
      <c r="AE109" s="7">
        <f t="shared" si="33"/>
        <v>0.29415972577328808</v>
      </c>
      <c r="AF109" s="7">
        <f t="shared" si="34"/>
        <v>0.24200280105109662</v>
      </c>
    </row>
    <row r="110" spans="1:32" x14ac:dyDescent="0.3">
      <c r="A110" s="1">
        <v>37987</v>
      </c>
      <c r="B110">
        <f>AEP!F110</f>
        <v>14.908287</v>
      </c>
      <c r="C110">
        <f>DFSVX!F110</f>
        <v>8.7170389999999998</v>
      </c>
      <c r="D110">
        <f>DFLVX!F110</f>
        <v>8.9443940000000008</v>
      </c>
      <c r="E110">
        <f>FSAGX!F110</f>
        <v>13.93844</v>
      </c>
      <c r="F110" s="5">
        <f>'FRED Graph'!B120</f>
        <v>1.24</v>
      </c>
      <c r="G110" s="9">
        <f t="shared" si="19"/>
        <v>1.24E-2</v>
      </c>
      <c r="H110" s="10">
        <f t="shared" si="24"/>
        <v>0.47648289687736001</v>
      </c>
      <c r="I110" s="10">
        <f t="shared" si="25"/>
        <v>0.73233196236542042</v>
      </c>
      <c r="J110" s="10">
        <f t="shared" si="26"/>
        <v>0.39933631451013746</v>
      </c>
      <c r="K110" s="10">
        <f t="shared" si="26"/>
        <v>0.20015164588567544</v>
      </c>
      <c r="L110" s="10">
        <f t="shared" si="27"/>
        <v>0.40598289687736</v>
      </c>
      <c r="M110" s="10">
        <f t="shared" si="28"/>
        <v>0.66183196236542041</v>
      </c>
      <c r="N110" s="10">
        <f t="shared" si="29"/>
        <v>0.32883631451013745</v>
      </c>
      <c r="O110" s="10">
        <f t="shared" si="30"/>
        <v>0.12965164588567546</v>
      </c>
      <c r="Y110" s="7">
        <f t="shared" si="20"/>
        <v>0.47648289687736001</v>
      </c>
      <c r="Z110" s="7">
        <f t="shared" si="21"/>
        <v>0.73233196236542042</v>
      </c>
      <c r="AA110" s="7">
        <f t="shared" si="22"/>
        <v>0.39933631451013746</v>
      </c>
      <c r="AB110" s="7">
        <f t="shared" si="23"/>
        <v>0.20015164588567544</v>
      </c>
      <c r="AC110" s="7">
        <f t="shared" si="31"/>
        <v>0.42558289687736001</v>
      </c>
      <c r="AD110" s="7">
        <f t="shared" si="32"/>
        <v>0.68143196236542036</v>
      </c>
      <c r="AE110" s="7">
        <f t="shared" si="33"/>
        <v>0.34843631451013746</v>
      </c>
      <c r="AF110" s="7">
        <f t="shared" si="34"/>
        <v>0.14925164588567544</v>
      </c>
    </row>
    <row r="111" spans="1:32" x14ac:dyDescent="0.3">
      <c r="A111" s="1">
        <v>38018</v>
      </c>
      <c r="B111">
        <f>AEP!F111</f>
        <v>15.753007999999999</v>
      </c>
      <c r="C111">
        <f>DFSVX!F111</f>
        <v>8.8403799999999997</v>
      </c>
      <c r="D111">
        <f>DFLVX!F111</f>
        <v>9.175046</v>
      </c>
      <c r="E111">
        <f>FSAGX!F111</f>
        <v>13.97954</v>
      </c>
      <c r="F111" s="5">
        <f>'FRED Graph'!B121</f>
        <v>1.24</v>
      </c>
      <c r="G111" s="9">
        <f t="shared" si="19"/>
        <v>1.24E-2</v>
      </c>
      <c r="H111" s="10">
        <f t="shared" si="24"/>
        <v>0.69194519359138362</v>
      </c>
      <c r="I111" s="10">
        <f t="shared" si="25"/>
        <v>0.83215336536976925</v>
      </c>
      <c r="J111" s="10">
        <f t="shared" si="26"/>
        <v>0.47870537938232494</v>
      </c>
      <c r="K111" s="10">
        <f t="shared" si="26"/>
        <v>0.26829678105120397</v>
      </c>
      <c r="L111" s="10">
        <f t="shared" si="27"/>
        <v>0.62144519359138362</v>
      </c>
      <c r="M111" s="10">
        <f t="shared" si="28"/>
        <v>0.76165336536976924</v>
      </c>
      <c r="N111" s="10">
        <f t="shared" si="29"/>
        <v>0.40820537938232493</v>
      </c>
      <c r="O111" s="10">
        <f t="shared" si="30"/>
        <v>0.19779678105120396</v>
      </c>
      <c r="Y111" s="7">
        <f t="shared" si="20"/>
        <v>0.69194519359138362</v>
      </c>
      <c r="Z111" s="7">
        <f t="shared" si="21"/>
        <v>0.83215336536976925</v>
      </c>
      <c r="AA111" s="7">
        <f t="shared" si="22"/>
        <v>0.47870537938232494</v>
      </c>
      <c r="AB111" s="7">
        <f t="shared" si="23"/>
        <v>0.26829678105120397</v>
      </c>
      <c r="AC111" s="7">
        <f t="shared" si="31"/>
        <v>0.64104519359138368</v>
      </c>
      <c r="AD111" s="7">
        <f t="shared" si="32"/>
        <v>0.7812533653697693</v>
      </c>
      <c r="AE111" s="7">
        <f t="shared" si="33"/>
        <v>0.42780537938232494</v>
      </c>
      <c r="AF111" s="7">
        <f t="shared" si="34"/>
        <v>0.21739678105120397</v>
      </c>
    </row>
    <row r="112" spans="1:32" x14ac:dyDescent="0.3">
      <c r="A112" s="1">
        <v>38047</v>
      </c>
      <c r="B112">
        <f>AEP!F112</f>
        <v>15.191957</v>
      </c>
      <c r="C112">
        <f>DFSVX!F112</f>
        <v>8.9238149999999994</v>
      </c>
      <c r="D112">
        <f>DFLVX!F112</f>
        <v>9.1237910000000007</v>
      </c>
      <c r="E112">
        <f>FSAGX!F112</f>
        <v>14.873493</v>
      </c>
      <c r="F112" s="5">
        <f>'FRED Graph'!B122</f>
        <v>1.19</v>
      </c>
      <c r="G112" s="9">
        <f t="shared" si="19"/>
        <v>1.1899999999999999E-2</v>
      </c>
      <c r="H112" s="10">
        <f t="shared" si="24"/>
        <v>0.51409652572067788</v>
      </c>
      <c r="I112" s="10">
        <f t="shared" si="25"/>
        <v>0.8533526149137749</v>
      </c>
      <c r="J112" s="10">
        <f t="shared" si="26"/>
        <v>0.48131020700339378</v>
      </c>
      <c r="K112" s="10">
        <f t="shared" si="26"/>
        <v>0.499114500511464</v>
      </c>
      <c r="L112" s="10">
        <f t="shared" si="27"/>
        <v>0.44359652572067787</v>
      </c>
      <c r="M112" s="10">
        <f t="shared" si="28"/>
        <v>0.78285261491377489</v>
      </c>
      <c r="N112" s="10">
        <f t="shared" si="29"/>
        <v>0.41081020700339377</v>
      </c>
      <c r="O112" s="10">
        <f t="shared" si="30"/>
        <v>0.42861450051146399</v>
      </c>
      <c r="Y112" s="7">
        <f t="shared" si="20"/>
        <v>0.51409652572067788</v>
      </c>
      <c r="Z112" s="7">
        <f t="shared" si="21"/>
        <v>0.8533526149137749</v>
      </c>
      <c r="AA112" s="7">
        <f t="shared" si="22"/>
        <v>0.48131020700339378</v>
      </c>
      <c r="AB112" s="7">
        <f t="shared" si="23"/>
        <v>0.499114500511464</v>
      </c>
      <c r="AC112" s="7">
        <f t="shared" si="31"/>
        <v>0.46319652572067788</v>
      </c>
      <c r="AD112" s="7">
        <f t="shared" si="32"/>
        <v>0.80245261491377495</v>
      </c>
      <c r="AE112" s="7">
        <f t="shared" si="33"/>
        <v>0.43041020700339377</v>
      </c>
      <c r="AF112" s="7">
        <f t="shared" si="34"/>
        <v>0.448214500511464</v>
      </c>
    </row>
    <row r="113" spans="1:32" x14ac:dyDescent="0.3">
      <c r="A113" s="1">
        <v>38078</v>
      </c>
      <c r="B113">
        <f>AEP!F113</f>
        <v>14.047487</v>
      </c>
      <c r="C113">
        <f>DFSVX!F113</f>
        <v>8.6408609999999992</v>
      </c>
      <c r="D113">
        <f>DFLVX!F113</f>
        <v>8.9839500000000001</v>
      </c>
      <c r="E113">
        <f>FSAGX!F113</f>
        <v>11.456953</v>
      </c>
      <c r="F113" s="5">
        <f>'FRED Graph'!B123</f>
        <v>1.43</v>
      </c>
      <c r="G113" s="9">
        <f t="shared" si="19"/>
        <v>1.43E-2</v>
      </c>
      <c r="H113" s="10">
        <f t="shared" si="24"/>
        <v>0.21269116251846351</v>
      </c>
      <c r="I113" s="10">
        <f t="shared" si="25"/>
        <v>0.62312943111037467</v>
      </c>
      <c r="J113" s="10">
        <f t="shared" si="26"/>
        <v>0.33232281483531328</v>
      </c>
      <c r="K113" s="10">
        <f t="shared" si="26"/>
        <v>0.1890461386458186</v>
      </c>
      <c r="L113" s="10">
        <f t="shared" si="27"/>
        <v>0.14219116251846353</v>
      </c>
      <c r="M113" s="10">
        <f t="shared" si="28"/>
        <v>0.55262943111037466</v>
      </c>
      <c r="N113" s="10">
        <f t="shared" si="29"/>
        <v>0.26182281483531328</v>
      </c>
      <c r="O113" s="10">
        <f t="shared" si="30"/>
        <v>0.1185461386458186</v>
      </c>
      <c r="Y113" s="7">
        <f t="shared" si="20"/>
        <v>0.21269116251846351</v>
      </c>
      <c r="Z113" s="7">
        <f t="shared" si="21"/>
        <v>0.62312943111037467</v>
      </c>
      <c r="AA113" s="7">
        <f t="shared" si="22"/>
        <v>0.33232281483531328</v>
      </c>
      <c r="AB113" s="7">
        <f t="shared" si="23"/>
        <v>0.1890461386458186</v>
      </c>
      <c r="AC113" s="7">
        <f t="shared" si="31"/>
        <v>0.16179116251846351</v>
      </c>
      <c r="AD113" s="7">
        <f t="shared" si="32"/>
        <v>0.57222943111037461</v>
      </c>
      <c r="AE113" s="7">
        <f t="shared" si="33"/>
        <v>0.28142281483531328</v>
      </c>
      <c r="AF113" s="7">
        <f t="shared" si="34"/>
        <v>0.13814613864581859</v>
      </c>
    </row>
    <row r="114" spans="1:32" x14ac:dyDescent="0.3">
      <c r="A114" s="1">
        <v>38108</v>
      </c>
      <c r="B114">
        <f>AEP!F114</f>
        <v>14.66126</v>
      </c>
      <c r="C114">
        <f>DFSVX!F114</f>
        <v>8.6735100000000003</v>
      </c>
      <c r="D114">
        <f>DFLVX!F114</f>
        <v>9.035285</v>
      </c>
      <c r="E114">
        <f>FSAGX!F114</f>
        <v>12.407419000000001</v>
      </c>
      <c r="F114" s="5">
        <f>'FRED Graph'!B124</f>
        <v>1.78</v>
      </c>
      <c r="G114" s="9">
        <f t="shared" si="19"/>
        <v>1.78E-2</v>
      </c>
      <c r="H114" s="10">
        <f t="shared" si="24"/>
        <v>0.1497437648425555</v>
      </c>
      <c r="I114" s="10">
        <f t="shared" si="25"/>
        <v>0.45834871097658569</v>
      </c>
      <c r="J114" s="10">
        <f t="shared" si="26"/>
        <v>0.25589459547291726</v>
      </c>
      <c r="K114" s="10">
        <f t="shared" si="26"/>
        <v>0.12684983496071836</v>
      </c>
      <c r="L114" s="10">
        <f t="shared" si="27"/>
        <v>7.9243764842555506E-2</v>
      </c>
      <c r="M114" s="10">
        <f t="shared" si="28"/>
        <v>0.38784871097658569</v>
      </c>
      <c r="N114" s="10">
        <f t="shared" si="29"/>
        <v>0.18539459547291726</v>
      </c>
      <c r="O114" s="10">
        <f t="shared" si="30"/>
        <v>5.6349834960718367E-2</v>
      </c>
      <c r="Y114" s="7">
        <f t="shared" si="20"/>
        <v>0.1497437648425555</v>
      </c>
      <c r="Z114" s="7">
        <f t="shared" si="21"/>
        <v>0.45834871097658569</v>
      </c>
      <c r="AA114" s="7">
        <f t="shared" si="22"/>
        <v>0.25589459547291726</v>
      </c>
      <c r="AB114" s="7">
        <f t="shared" si="23"/>
        <v>0.12684983496071836</v>
      </c>
      <c r="AC114" s="7">
        <f t="shared" si="31"/>
        <v>9.8843764842555498E-2</v>
      </c>
      <c r="AD114" s="7">
        <f t="shared" si="32"/>
        <v>0.40744871097658569</v>
      </c>
      <c r="AE114" s="7">
        <f t="shared" si="33"/>
        <v>0.20499459547291726</v>
      </c>
      <c r="AF114" s="7">
        <f t="shared" si="34"/>
        <v>7.594983496071836E-2</v>
      </c>
    </row>
    <row r="115" spans="1:32" x14ac:dyDescent="0.3">
      <c r="A115" s="1">
        <v>38139</v>
      </c>
      <c r="B115">
        <f>AEP!F115</f>
        <v>14.936419000000001</v>
      </c>
      <c r="C115">
        <f>DFSVX!F115</f>
        <v>9.2502899999999997</v>
      </c>
      <c r="D115">
        <f>DFLVX!F115</f>
        <v>9.276567</v>
      </c>
      <c r="E115">
        <f>FSAGX!F115</f>
        <v>11.909071000000001</v>
      </c>
      <c r="F115" s="5">
        <f>'FRED Graph'!B125</f>
        <v>2.12</v>
      </c>
      <c r="G115" s="9">
        <f t="shared" si="19"/>
        <v>2.12E-2</v>
      </c>
      <c r="H115" s="10">
        <f t="shared" si="24"/>
        <v>0.12480123935522143</v>
      </c>
      <c r="I115" s="10">
        <f t="shared" si="25"/>
        <v>0.50057328213267438</v>
      </c>
      <c r="J115" s="10">
        <f t="shared" si="26"/>
        <v>0.27951395234612181</v>
      </c>
      <c r="K115" s="10">
        <f t="shared" si="26"/>
        <v>6.6151967244110751E-2</v>
      </c>
      <c r="L115" s="10">
        <f t="shared" si="27"/>
        <v>5.4301239355221437E-2</v>
      </c>
      <c r="M115" s="10">
        <f t="shared" si="28"/>
        <v>0.43007328213267437</v>
      </c>
      <c r="N115" s="10">
        <f t="shared" si="29"/>
        <v>0.2090139523461218</v>
      </c>
      <c r="O115" s="10">
        <f t="shared" si="30"/>
        <v>-4.3480327558892418E-3</v>
      </c>
      <c r="Y115" s="7">
        <f t="shared" si="20"/>
        <v>0.12480123935522143</v>
      </c>
      <c r="Z115" s="7">
        <f t="shared" si="21"/>
        <v>0.50057328213267438</v>
      </c>
      <c r="AA115" s="7">
        <f t="shared" si="22"/>
        <v>0.27951395234612181</v>
      </c>
      <c r="AB115" s="7">
        <f t="shared" si="23"/>
        <v>6.6151967244110751E-2</v>
      </c>
      <c r="AC115" s="7">
        <f t="shared" si="31"/>
        <v>7.3901239355221429E-2</v>
      </c>
      <c r="AD115" s="7">
        <f t="shared" si="32"/>
        <v>0.44967328213267438</v>
      </c>
      <c r="AE115" s="7">
        <f t="shared" si="33"/>
        <v>0.22861395234612181</v>
      </c>
      <c r="AF115" s="7">
        <f t="shared" si="34"/>
        <v>1.5251967244110751E-2</v>
      </c>
    </row>
    <row r="116" spans="1:32" x14ac:dyDescent="0.3">
      <c r="A116" s="1">
        <v>38169</v>
      </c>
      <c r="B116">
        <f>AEP!F116</f>
        <v>14.521000000000001</v>
      </c>
      <c r="C116">
        <f>DFSVX!F116</f>
        <v>8.7605269999999997</v>
      </c>
      <c r="D116">
        <f>DFLVX!F116</f>
        <v>9.0012450000000008</v>
      </c>
      <c r="E116">
        <f>FSAGX!F116</f>
        <v>11.729248999999999</v>
      </c>
      <c r="F116" s="5">
        <f>'FRED Graph'!B126</f>
        <v>2.1</v>
      </c>
      <c r="G116" s="9">
        <f t="shared" si="19"/>
        <v>2.1000000000000001E-2</v>
      </c>
      <c r="H116" s="10">
        <f t="shared" si="24"/>
        <v>0.16249616530773925</v>
      </c>
      <c r="I116" s="10">
        <f t="shared" si="25"/>
        <v>0.32764948646091147</v>
      </c>
      <c r="J116" s="10">
        <f t="shared" si="26"/>
        <v>0.20741904670817929</v>
      </c>
      <c r="K116" s="10">
        <f t="shared" si="26"/>
        <v>2.6491121456619473E-3</v>
      </c>
      <c r="L116" s="10">
        <f t="shared" si="27"/>
        <v>9.1996165307739255E-2</v>
      </c>
      <c r="M116" s="10">
        <f t="shared" si="28"/>
        <v>0.25714948646091146</v>
      </c>
      <c r="N116" s="10">
        <f t="shared" si="29"/>
        <v>0.13691904670817928</v>
      </c>
      <c r="O116" s="10">
        <f t="shared" si="30"/>
        <v>-6.7850887854338043E-2</v>
      </c>
      <c r="Y116" s="7">
        <f t="shared" si="20"/>
        <v>0.16249616530773925</v>
      </c>
      <c r="Z116" s="7">
        <f t="shared" si="21"/>
        <v>0.32764948646091147</v>
      </c>
      <c r="AA116" s="7">
        <f t="shared" si="22"/>
        <v>0.20741904670817929</v>
      </c>
      <c r="AB116" s="7">
        <f t="shared" si="23"/>
        <v>2.6491121456619473E-3</v>
      </c>
      <c r="AC116" s="7">
        <f t="shared" si="31"/>
        <v>0.11159616530773925</v>
      </c>
      <c r="AD116" s="7">
        <f t="shared" si="32"/>
        <v>0.27674948646091146</v>
      </c>
      <c r="AE116" s="7">
        <f t="shared" si="33"/>
        <v>0.15651904670817929</v>
      </c>
      <c r="AF116" s="7">
        <f t="shared" si="34"/>
        <v>-4.8250887854338051E-2</v>
      </c>
    </row>
    <row r="117" spans="1:32" x14ac:dyDescent="0.3">
      <c r="A117" s="1">
        <v>38200</v>
      </c>
      <c r="B117">
        <f>AEP!F117</f>
        <v>15.277157000000001</v>
      </c>
      <c r="C117">
        <f>DFSVX!F117</f>
        <v>8.6298809999999992</v>
      </c>
      <c r="D117">
        <f>DFLVX!F117</f>
        <v>9.0012450000000008</v>
      </c>
      <c r="E117">
        <f>FSAGX!F117</f>
        <v>12.566682999999999</v>
      </c>
      <c r="F117" s="5">
        <f>'FRED Graph'!B127</f>
        <v>2.02</v>
      </c>
      <c r="G117" s="9">
        <f t="shared" si="19"/>
        <v>2.0199999999999999E-2</v>
      </c>
      <c r="H117" s="10">
        <f t="shared" si="24"/>
        <v>0.21223119741772103</v>
      </c>
      <c r="I117" s="10">
        <f t="shared" si="25"/>
        <v>0.24392744588624771</v>
      </c>
      <c r="J117" s="10">
        <f t="shared" si="26"/>
        <v>0.1660581764413952</v>
      </c>
      <c r="K117" s="10">
        <f t="shared" si="26"/>
        <v>-3.2116340594274144E-2</v>
      </c>
      <c r="L117" s="10">
        <f t="shared" si="27"/>
        <v>0.14173119741772106</v>
      </c>
      <c r="M117" s="10">
        <f t="shared" si="28"/>
        <v>0.1734274458862477</v>
      </c>
      <c r="N117" s="10">
        <f t="shared" si="29"/>
        <v>9.5558176441395207E-2</v>
      </c>
      <c r="O117" s="10">
        <f t="shared" si="30"/>
        <v>-0.10261634059427413</v>
      </c>
      <c r="Y117" s="7">
        <f t="shared" si="20"/>
        <v>0.21223119741772103</v>
      </c>
      <c r="Z117" s="7">
        <f t="shared" si="21"/>
        <v>0.24392744588624771</v>
      </c>
      <c r="AA117" s="7">
        <f t="shared" si="22"/>
        <v>0.1660581764413952</v>
      </c>
      <c r="AB117" s="7">
        <f t="shared" si="23"/>
        <v>-3.2116340594274144E-2</v>
      </c>
      <c r="AC117" s="7">
        <f t="shared" si="31"/>
        <v>0.16133119741772103</v>
      </c>
      <c r="AD117" s="7">
        <f t="shared" si="32"/>
        <v>0.19302744588624771</v>
      </c>
      <c r="AE117" s="7">
        <f t="shared" si="33"/>
        <v>0.1151581764413952</v>
      </c>
      <c r="AF117" s="7">
        <f t="shared" si="34"/>
        <v>-8.3016340594274152E-2</v>
      </c>
    </row>
    <row r="118" spans="1:32" x14ac:dyDescent="0.3">
      <c r="A118" s="1">
        <v>38231</v>
      </c>
      <c r="B118">
        <f>AEP!F118</f>
        <v>15.082765999999999</v>
      </c>
      <c r="C118">
        <f>DFSVX!F118</f>
        <v>9.0544799999999999</v>
      </c>
      <c r="D118">
        <f>DFLVX!F118</f>
        <v>9.2535690000000006</v>
      </c>
      <c r="E118">
        <f>FSAGX!F118</f>
        <v>13.712382</v>
      </c>
      <c r="F118" s="5">
        <f>'FRED Graph'!B128</f>
        <v>2.12</v>
      </c>
      <c r="G118" s="9">
        <f t="shared" si="19"/>
        <v>2.12E-2</v>
      </c>
      <c r="H118" s="10">
        <f t="shared" si="24"/>
        <v>0.11506944026534378</v>
      </c>
      <c r="I118" s="10">
        <f t="shared" si="25"/>
        <v>0.31541706491008092</v>
      </c>
      <c r="J118" s="10">
        <f t="shared" si="26"/>
        <v>0.2295242261037467</v>
      </c>
      <c r="K118" s="10">
        <f t="shared" si="26"/>
        <v>4.3313816888308931E-2</v>
      </c>
      <c r="L118" s="10">
        <f t="shared" si="27"/>
        <v>4.456944026534379E-2</v>
      </c>
      <c r="M118" s="10">
        <f t="shared" si="28"/>
        <v>0.24491706491008092</v>
      </c>
      <c r="N118" s="10">
        <f t="shared" si="29"/>
        <v>0.15902422610374672</v>
      </c>
      <c r="O118" s="10">
        <f t="shared" si="30"/>
        <v>-2.7186183111691062E-2</v>
      </c>
      <c r="Y118" s="7">
        <f t="shared" si="20"/>
        <v>0.11506944026534378</v>
      </c>
      <c r="Z118" s="7">
        <f t="shared" si="21"/>
        <v>0.31541706491008092</v>
      </c>
      <c r="AA118" s="7">
        <f t="shared" si="22"/>
        <v>0.2295242261037467</v>
      </c>
      <c r="AB118" s="7">
        <f t="shared" si="23"/>
        <v>4.3313816888308931E-2</v>
      </c>
      <c r="AC118" s="7">
        <f t="shared" si="31"/>
        <v>6.4169440265343783E-2</v>
      </c>
      <c r="AD118" s="7">
        <f t="shared" si="32"/>
        <v>0.26451706491008092</v>
      </c>
      <c r="AE118" s="7">
        <f t="shared" si="33"/>
        <v>0.1786242261037467</v>
      </c>
      <c r="AF118" s="7">
        <f t="shared" si="34"/>
        <v>-7.5861831116910694E-3</v>
      </c>
    </row>
    <row r="119" spans="1:32" x14ac:dyDescent="0.3">
      <c r="A119" s="1">
        <v>38261</v>
      </c>
      <c r="B119">
        <f>AEP!F119</f>
        <v>15.540532000000001</v>
      </c>
      <c r="C119">
        <f>DFSVX!F119</f>
        <v>9.1423240000000003</v>
      </c>
      <c r="D119">
        <f>DFLVX!F119</f>
        <v>9.3870529999999999</v>
      </c>
      <c r="E119">
        <f>FSAGX!F119</f>
        <v>14.072020999999999</v>
      </c>
      <c r="F119" s="5">
        <f>'FRED Graph'!B129</f>
        <v>2.23</v>
      </c>
      <c r="G119" s="9">
        <f t="shared" si="19"/>
        <v>2.23E-2</v>
      </c>
      <c r="H119" s="10">
        <f t="shared" si="24"/>
        <v>0.22268030514349207</v>
      </c>
      <c r="I119" s="10">
        <f t="shared" si="25"/>
        <v>0.20743474510056678</v>
      </c>
      <c r="J119" s="10">
        <f t="shared" si="26"/>
        <v>0.16543235657484745</v>
      </c>
      <c r="K119" s="10">
        <f t="shared" si="26"/>
        <v>-2.3020903447435639E-2</v>
      </c>
      <c r="L119" s="10">
        <f t="shared" si="27"/>
        <v>0.15218030514349207</v>
      </c>
      <c r="M119" s="10">
        <f t="shared" si="28"/>
        <v>0.1369347451005668</v>
      </c>
      <c r="N119" s="10">
        <f t="shared" si="29"/>
        <v>9.4932356574847457E-2</v>
      </c>
      <c r="O119" s="10">
        <f t="shared" si="30"/>
        <v>-9.3520903447435633E-2</v>
      </c>
      <c r="Y119" s="7">
        <f t="shared" si="20"/>
        <v>0.22268030514349207</v>
      </c>
      <c r="Z119" s="7">
        <f t="shared" si="21"/>
        <v>0.20743474510056678</v>
      </c>
      <c r="AA119" s="7">
        <f t="shared" si="22"/>
        <v>0.16543235657484745</v>
      </c>
      <c r="AB119" s="7">
        <f t="shared" si="23"/>
        <v>-2.3020903447435639E-2</v>
      </c>
      <c r="AC119" s="7">
        <f t="shared" si="31"/>
        <v>0.17178030514349207</v>
      </c>
      <c r="AD119" s="7">
        <f t="shared" si="32"/>
        <v>0.15653474510056678</v>
      </c>
      <c r="AE119" s="7">
        <f t="shared" si="33"/>
        <v>0.11453235657484745</v>
      </c>
      <c r="AF119" s="7">
        <f t="shared" si="34"/>
        <v>-7.392090344743564E-2</v>
      </c>
    </row>
    <row r="120" spans="1:32" x14ac:dyDescent="0.3">
      <c r="A120" s="1">
        <v>38292</v>
      </c>
      <c r="B120">
        <f>AEP!F120</f>
        <v>16.125724999999999</v>
      </c>
      <c r="C120">
        <f>DFSVX!F120</f>
        <v>10.05692</v>
      </c>
      <c r="D120">
        <f>DFLVX!F120</f>
        <v>10.001497000000001</v>
      </c>
      <c r="E120">
        <f>FSAGX!F120</f>
        <v>14.575507999999999</v>
      </c>
      <c r="F120" s="5">
        <f>'FRED Graph'!B130</f>
        <v>2.5</v>
      </c>
      <c r="G120" s="9">
        <f t="shared" si="19"/>
        <v>2.5000000000000001E-2</v>
      </c>
      <c r="H120" s="10">
        <f t="shared" si="24"/>
        <v>0.29163089644044921</v>
      </c>
      <c r="I120" s="10">
        <f t="shared" si="25"/>
        <v>0.27512033671457814</v>
      </c>
      <c r="J120" s="10">
        <f t="shared" si="26"/>
        <v>0.21479070527843522</v>
      </c>
      <c r="K120" s="10">
        <f t="shared" si="26"/>
        <v>-7.156367115453649E-2</v>
      </c>
      <c r="L120" s="10">
        <f t="shared" si="27"/>
        <v>0.2211308964404492</v>
      </c>
      <c r="M120" s="10">
        <f t="shared" si="28"/>
        <v>0.20462033671457813</v>
      </c>
      <c r="N120" s="10">
        <f t="shared" si="29"/>
        <v>0.14429070527843524</v>
      </c>
      <c r="O120" s="10">
        <f t="shared" si="30"/>
        <v>-0.1420636711545365</v>
      </c>
      <c r="Y120" s="7">
        <f t="shared" si="20"/>
        <v>0.29163089644044921</v>
      </c>
      <c r="Z120" s="7">
        <f t="shared" si="21"/>
        <v>0.27512033671457814</v>
      </c>
      <c r="AA120" s="7">
        <f t="shared" si="22"/>
        <v>0.21479070527843522</v>
      </c>
      <c r="AB120" s="7">
        <f t="shared" si="23"/>
        <v>-7.156367115453649E-2</v>
      </c>
      <c r="AC120" s="7">
        <f t="shared" si="31"/>
        <v>0.2407308964404492</v>
      </c>
      <c r="AD120" s="7">
        <f t="shared" si="32"/>
        <v>0.22422033671457814</v>
      </c>
      <c r="AE120" s="7">
        <f t="shared" si="33"/>
        <v>0.16389070527843522</v>
      </c>
      <c r="AF120" s="7">
        <f t="shared" si="34"/>
        <v>-0.12246367115453649</v>
      </c>
    </row>
    <row r="121" spans="1:32" x14ac:dyDescent="0.3">
      <c r="A121" s="1">
        <v>38322</v>
      </c>
      <c r="B121">
        <f>AEP!F121</f>
        <v>16.372727999999999</v>
      </c>
      <c r="C121">
        <f>DFSVX!F121</f>
        <v>9.7556840000000005</v>
      </c>
      <c r="D121">
        <f>DFLVX!F121</f>
        <v>10.352603</v>
      </c>
      <c r="E121">
        <f>FSAGX!F121</f>
        <v>13.825411000000001</v>
      </c>
      <c r="F121" s="5">
        <f>'FRED Graph'!B131</f>
        <v>2.67</v>
      </c>
      <c r="G121" s="9">
        <f t="shared" si="19"/>
        <v>2.6699999999999998E-2</v>
      </c>
      <c r="H121" s="10">
        <f t="shared" si="24"/>
        <v>0.17526117747722006</v>
      </c>
      <c r="I121" s="10">
        <f t="shared" si="25"/>
        <v>0.2558231739577399</v>
      </c>
      <c r="J121" s="10">
        <f t="shared" si="26"/>
        <v>0.18269290526121468</v>
      </c>
      <c r="K121" s="10">
        <f t="shared" si="26"/>
        <v>-6.9745858759523896E-2</v>
      </c>
      <c r="L121" s="10">
        <f t="shared" si="27"/>
        <v>0.10476117747722007</v>
      </c>
      <c r="M121" s="10">
        <f t="shared" si="28"/>
        <v>0.1853231739577399</v>
      </c>
      <c r="N121" s="10">
        <f t="shared" si="29"/>
        <v>0.11219290526121468</v>
      </c>
      <c r="O121" s="10">
        <f t="shared" si="30"/>
        <v>-0.14024585875952389</v>
      </c>
      <c r="Y121" s="7">
        <f t="shared" si="20"/>
        <v>0.17526117747722006</v>
      </c>
      <c r="Z121" s="7">
        <f t="shared" si="21"/>
        <v>0.2558231739577399</v>
      </c>
      <c r="AA121" s="7">
        <f t="shared" si="22"/>
        <v>0.18269290526121468</v>
      </c>
      <c r="AB121" s="7">
        <f t="shared" si="23"/>
        <v>-6.9745858759523896E-2</v>
      </c>
      <c r="AC121" s="7">
        <f t="shared" si="31"/>
        <v>0.12436117747722006</v>
      </c>
      <c r="AD121" s="7">
        <f t="shared" si="32"/>
        <v>0.2049231739577399</v>
      </c>
      <c r="AE121" s="7">
        <f t="shared" si="33"/>
        <v>0.13179290526121468</v>
      </c>
      <c r="AF121" s="7">
        <f t="shared" si="34"/>
        <v>-0.1206458587595239</v>
      </c>
    </row>
    <row r="122" spans="1:32" x14ac:dyDescent="0.3">
      <c r="A122" s="1">
        <v>38353</v>
      </c>
      <c r="B122">
        <f>AEP!F122</f>
        <v>16.806601000000001</v>
      </c>
      <c r="C122">
        <f>DFSVX!F122</f>
        <v>10.045868</v>
      </c>
      <c r="D122">
        <f>DFLVX!F122</f>
        <v>10.141087000000001</v>
      </c>
      <c r="E122">
        <f>FSAGX!F122</f>
        <v>13.147243</v>
      </c>
      <c r="F122" s="5">
        <f>'FRED Graph'!B132</f>
        <v>2.86</v>
      </c>
      <c r="G122" s="9">
        <f t="shared" si="19"/>
        <v>2.86E-2</v>
      </c>
      <c r="H122" s="10">
        <f t="shared" si="24"/>
        <v>0.12733280490240098</v>
      </c>
      <c r="I122" s="10">
        <f t="shared" si="25"/>
        <v>0.15244041009797027</v>
      </c>
      <c r="J122" s="10">
        <f t="shared" si="26"/>
        <v>0.13379251853171939</v>
      </c>
      <c r="K122" s="10">
        <f t="shared" si="26"/>
        <v>-5.6763669391983636E-2</v>
      </c>
      <c r="L122" s="10">
        <f t="shared" si="27"/>
        <v>5.6832804902400988E-2</v>
      </c>
      <c r="M122" s="10">
        <f t="shared" si="28"/>
        <v>8.1940410097970276E-2</v>
      </c>
      <c r="N122" s="10">
        <f t="shared" si="29"/>
        <v>6.3292518531719397E-2</v>
      </c>
      <c r="O122" s="10">
        <f t="shared" si="30"/>
        <v>-0.12726366939198364</v>
      </c>
      <c r="Y122" s="7">
        <f t="shared" si="20"/>
        <v>0.12733280490240098</v>
      </c>
      <c r="Z122" s="7">
        <f t="shared" si="21"/>
        <v>0.15244041009797027</v>
      </c>
      <c r="AA122" s="7">
        <f t="shared" si="22"/>
        <v>0.13379251853171939</v>
      </c>
      <c r="AB122" s="7">
        <f t="shared" si="23"/>
        <v>-5.6763669391983636E-2</v>
      </c>
      <c r="AC122" s="7">
        <f t="shared" si="31"/>
        <v>7.643280490240098E-2</v>
      </c>
      <c r="AD122" s="7">
        <f t="shared" si="32"/>
        <v>0.10154041009797027</v>
      </c>
      <c r="AE122" s="7">
        <f t="shared" si="33"/>
        <v>8.2892518531719389E-2</v>
      </c>
      <c r="AF122" s="7">
        <f t="shared" si="34"/>
        <v>-0.10766366939198363</v>
      </c>
    </row>
    <row r="123" spans="1:32" x14ac:dyDescent="0.3">
      <c r="A123" s="1">
        <v>38384</v>
      </c>
      <c r="B123">
        <f>AEP!F123</f>
        <v>15.924557</v>
      </c>
      <c r="C123">
        <f>DFSVX!F123</f>
        <v>10.317164999999999</v>
      </c>
      <c r="D123">
        <f>DFLVX!F123</f>
        <v>10.447136</v>
      </c>
      <c r="E123">
        <f>FSAGX!F123</f>
        <v>14.097702</v>
      </c>
      <c r="F123" s="5">
        <f>'FRED Graph'!B133</f>
        <v>3.03</v>
      </c>
      <c r="G123" s="9">
        <f t="shared" si="19"/>
        <v>3.0299999999999997E-2</v>
      </c>
      <c r="H123" s="10">
        <f t="shared" si="24"/>
        <v>1.0889920198098079E-2</v>
      </c>
      <c r="I123" s="10">
        <f t="shared" si="25"/>
        <v>0.16704994581680874</v>
      </c>
      <c r="J123" s="10">
        <f t="shared" si="26"/>
        <v>0.13864671632164027</v>
      </c>
      <c r="K123" s="10">
        <f t="shared" si="26"/>
        <v>8.4524955756770156E-3</v>
      </c>
      <c r="L123" s="10">
        <f t="shared" si="27"/>
        <v>-5.9610079801901916E-2</v>
      </c>
      <c r="M123" s="10">
        <f t="shared" si="28"/>
        <v>9.6549945816808744E-2</v>
      </c>
      <c r="N123" s="10">
        <f t="shared" si="29"/>
        <v>6.814671632164028E-2</v>
      </c>
      <c r="O123" s="10">
        <f t="shared" si="30"/>
        <v>-6.2047504424322976E-2</v>
      </c>
      <c r="Y123" s="7">
        <f t="shared" si="20"/>
        <v>1.0889920198098079E-2</v>
      </c>
      <c r="Z123" s="7">
        <f t="shared" si="21"/>
        <v>0.16704994581680874</v>
      </c>
      <c r="AA123" s="7">
        <f t="shared" si="22"/>
        <v>0.13864671632164027</v>
      </c>
      <c r="AB123" s="7">
        <f t="shared" si="23"/>
        <v>8.4524955756770156E-3</v>
      </c>
      <c r="AC123" s="7">
        <f t="shared" si="31"/>
        <v>-4.0010079801901924E-2</v>
      </c>
      <c r="AD123" s="7">
        <f t="shared" si="32"/>
        <v>0.11614994581680874</v>
      </c>
      <c r="AE123" s="7">
        <f t="shared" si="33"/>
        <v>8.7746716321640272E-2</v>
      </c>
      <c r="AF123" s="7">
        <f t="shared" si="34"/>
        <v>-4.2447504424322983E-2</v>
      </c>
    </row>
    <row r="124" spans="1:32" x14ac:dyDescent="0.3">
      <c r="A124" s="1">
        <v>38412</v>
      </c>
      <c r="B124">
        <f>AEP!F124</f>
        <v>16.401765999999999</v>
      </c>
      <c r="C124">
        <f>DFSVX!F124</f>
        <v>10.115629999999999</v>
      </c>
      <c r="D124">
        <f>DFLVX!F124</f>
        <v>10.405642</v>
      </c>
      <c r="E124">
        <f>FSAGX!F124</f>
        <v>13.506879</v>
      </c>
      <c r="F124" s="5">
        <f>'FRED Graph'!B134</f>
        <v>3.3</v>
      </c>
      <c r="G124" s="9">
        <f t="shared" si="19"/>
        <v>3.3000000000000002E-2</v>
      </c>
      <c r="H124" s="10">
        <f t="shared" si="24"/>
        <v>7.9634835722612832E-2</v>
      </c>
      <c r="I124" s="10">
        <f t="shared" si="25"/>
        <v>0.1335544271144124</v>
      </c>
      <c r="J124" s="10">
        <f t="shared" si="26"/>
        <v>0.14049543660086028</v>
      </c>
      <c r="K124" s="10">
        <f t="shared" si="26"/>
        <v>-9.1882518786945352E-2</v>
      </c>
      <c r="L124" s="10">
        <f t="shared" si="27"/>
        <v>9.1348357226128385E-3</v>
      </c>
      <c r="M124" s="10">
        <f t="shared" si="28"/>
        <v>6.3054427114412406E-2</v>
      </c>
      <c r="N124" s="10">
        <f t="shared" si="29"/>
        <v>6.9995436600860286E-2</v>
      </c>
      <c r="O124" s="10">
        <f t="shared" si="30"/>
        <v>-0.16238251878694535</v>
      </c>
      <c r="Y124" s="7">
        <f t="shared" si="20"/>
        <v>7.9634835722612832E-2</v>
      </c>
      <c r="Z124" s="7">
        <f t="shared" si="21"/>
        <v>0.1335544271144124</v>
      </c>
      <c r="AA124" s="7">
        <f t="shared" si="22"/>
        <v>0.14049543660086028</v>
      </c>
      <c r="AB124" s="7">
        <f t="shared" si="23"/>
        <v>-9.1882518786945352E-2</v>
      </c>
      <c r="AC124" s="7">
        <f t="shared" si="31"/>
        <v>2.8734835722612831E-2</v>
      </c>
      <c r="AD124" s="7">
        <f t="shared" si="32"/>
        <v>8.2654427114412399E-2</v>
      </c>
      <c r="AE124" s="7">
        <f t="shared" si="33"/>
        <v>8.9595436600860279E-2</v>
      </c>
      <c r="AF124" s="7">
        <f t="shared" si="34"/>
        <v>-0.14278251878694537</v>
      </c>
    </row>
    <row r="125" spans="1:32" x14ac:dyDescent="0.3">
      <c r="A125" s="1">
        <v>38443</v>
      </c>
      <c r="B125">
        <f>AEP!F125</f>
        <v>16.960364999999999</v>
      </c>
      <c r="C125">
        <f>DFSVX!F125</f>
        <v>9.379588</v>
      </c>
      <c r="D125">
        <f>DFLVX!F125</f>
        <v>10.061375999999999</v>
      </c>
      <c r="E125">
        <f>FSAGX!F125</f>
        <v>11.261723999999999</v>
      </c>
      <c r="F125" s="5">
        <f>'FRED Graph'!B135</f>
        <v>3.32</v>
      </c>
      <c r="G125" s="9">
        <f t="shared" si="19"/>
        <v>3.32E-2</v>
      </c>
      <c r="H125" s="10">
        <f t="shared" si="24"/>
        <v>0.20735936612719408</v>
      </c>
      <c r="I125" s="10">
        <f t="shared" si="25"/>
        <v>8.5492290640944324E-2</v>
      </c>
      <c r="J125" s="10">
        <f t="shared" si="26"/>
        <v>0.11992787137061083</v>
      </c>
      <c r="K125" s="10">
        <f t="shared" si="26"/>
        <v>-1.7040220030578916E-2</v>
      </c>
      <c r="L125" s="10">
        <f t="shared" si="27"/>
        <v>0.13685936612719407</v>
      </c>
      <c r="M125" s="10">
        <f t="shared" si="28"/>
        <v>1.4992290640944331E-2</v>
      </c>
      <c r="N125" s="10">
        <f t="shared" si="29"/>
        <v>4.9427871370610832E-2</v>
      </c>
      <c r="O125" s="10">
        <f t="shared" si="30"/>
        <v>-8.7540220030578902E-2</v>
      </c>
      <c r="Y125" s="7">
        <f t="shared" si="20"/>
        <v>0.20735936612719408</v>
      </c>
      <c r="Z125" s="7">
        <f t="shared" si="21"/>
        <v>8.5492290640944324E-2</v>
      </c>
      <c r="AA125" s="7">
        <f t="shared" si="22"/>
        <v>0.11992787137061083</v>
      </c>
      <c r="AB125" s="7">
        <f t="shared" si="23"/>
        <v>-1.7040220030578916E-2</v>
      </c>
      <c r="AC125" s="7">
        <f t="shared" si="31"/>
        <v>0.15645936612719408</v>
      </c>
      <c r="AD125" s="7">
        <f t="shared" si="32"/>
        <v>3.4592290640944323E-2</v>
      </c>
      <c r="AE125" s="7">
        <f t="shared" si="33"/>
        <v>6.9027871370610824E-2</v>
      </c>
      <c r="AF125" s="7">
        <f t="shared" si="34"/>
        <v>-6.7940220030578924E-2</v>
      </c>
    </row>
    <row r="126" spans="1:32" x14ac:dyDescent="0.3">
      <c r="A126" s="1">
        <v>38473</v>
      </c>
      <c r="B126">
        <f>AEP!F126</f>
        <v>17.186699000000001</v>
      </c>
      <c r="C126">
        <f>DFSVX!F126</f>
        <v>10.003605</v>
      </c>
      <c r="D126">
        <f>DFLVX!F126</f>
        <v>10.492501000000001</v>
      </c>
      <c r="E126">
        <f>FSAGX!F126</f>
        <v>12.164915000000001</v>
      </c>
      <c r="F126" s="5">
        <f>'FRED Graph'!B136</f>
        <v>3.33</v>
      </c>
      <c r="G126" s="9">
        <f t="shared" si="19"/>
        <v>3.3300000000000003E-2</v>
      </c>
      <c r="H126" s="10">
        <f t="shared" si="24"/>
        <v>0.17225252127034105</v>
      </c>
      <c r="I126" s="10">
        <f t="shared" si="25"/>
        <v>0.15335141136633265</v>
      </c>
      <c r="J126" s="10">
        <f t="shared" si="26"/>
        <v>0.16128057941725144</v>
      </c>
      <c r="K126" s="10">
        <f t="shared" si="26"/>
        <v>-1.9545080245939969E-2</v>
      </c>
      <c r="L126" s="10">
        <f t="shared" si="27"/>
        <v>0.10175252127034105</v>
      </c>
      <c r="M126" s="10">
        <f t="shared" si="28"/>
        <v>8.2851411366332658E-2</v>
      </c>
      <c r="N126" s="10">
        <f t="shared" si="29"/>
        <v>9.0780579417251442E-2</v>
      </c>
      <c r="O126" s="10">
        <f t="shared" si="30"/>
        <v>-9.0045080245939962E-2</v>
      </c>
      <c r="Y126" s="7">
        <f t="shared" si="20"/>
        <v>0.17225252127034105</v>
      </c>
      <c r="Z126" s="7">
        <f t="shared" si="21"/>
        <v>0.15335141136633265</v>
      </c>
      <c r="AA126" s="7">
        <f t="shared" si="22"/>
        <v>0.16128057941725144</v>
      </c>
      <c r="AB126" s="7">
        <f t="shared" si="23"/>
        <v>-1.9545080245939969E-2</v>
      </c>
      <c r="AC126" s="7">
        <f t="shared" si="31"/>
        <v>0.12135252127034105</v>
      </c>
      <c r="AD126" s="7">
        <f t="shared" si="32"/>
        <v>0.10245141136633265</v>
      </c>
      <c r="AE126" s="7">
        <f t="shared" si="33"/>
        <v>0.11038057941725143</v>
      </c>
      <c r="AF126" s="7">
        <f t="shared" si="34"/>
        <v>-7.044508024593997E-2</v>
      </c>
    </row>
    <row r="127" spans="1:32" x14ac:dyDescent="0.3">
      <c r="A127" s="1">
        <v>38504</v>
      </c>
      <c r="B127">
        <f>AEP!F127</f>
        <v>17.931622999999998</v>
      </c>
      <c r="C127">
        <f>DFSVX!F127</f>
        <v>10.406693000000001</v>
      </c>
      <c r="D127">
        <f>DFLVX!F127</f>
        <v>10.679498000000001</v>
      </c>
      <c r="E127">
        <f>FSAGX!F127</f>
        <v>13.182287000000001</v>
      </c>
      <c r="F127" s="5">
        <f>'FRED Graph'!B137</f>
        <v>3.36</v>
      </c>
      <c r="G127" s="9">
        <f t="shared" si="19"/>
        <v>3.3599999999999998E-2</v>
      </c>
      <c r="H127" s="10">
        <f t="shared" si="24"/>
        <v>0.20053026096817433</v>
      </c>
      <c r="I127" s="10">
        <f t="shared" si="25"/>
        <v>0.12501262122592924</v>
      </c>
      <c r="J127" s="10">
        <f t="shared" si="26"/>
        <v>0.15123385623151331</v>
      </c>
      <c r="K127" s="10">
        <f t="shared" si="26"/>
        <v>0.10691144590539427</v>
      </c>
      <c r="L127" s="10">
        <f t="shared" si="27"/>
        <v>0.13003026096817433</v>
      </c>
      <c r="M127" s="10">
        <f t="shared" si="28"/>
        <v>5.4512621225929245E-2</v>
      </c>
      <c r="N127" s="10">
        <f t="shared" si="29"/>
        <v>8.0733856231513315E-2</v>
      </c>
      <c r="O127" s="10">
        <f t="shared" si="30"/>
        <v>3.6411445905394274E-2</v>
      </c>
      <c r="Y127" s="7">
        <f t="shared" si="20"/>
        <v>0.20053026096817433</v>
      </c>
      <c r="Z127" s="7">
        <f t="shared" si="21"/>
        <v>0.12501262122592924</v>
      </c>
      <c r="AA127" s="7">
        <f t="shared" si="22"/>
        <v>0.15123385623151331</v>
      </c>
      <c r="AB127" s="7">
        <f t="shared" si="23"/>
        <v>0.10691144590539427</v>
      </c>
      <c r="AC127" s="7">
        <f t="shared" si="31"/>
        <v>0.14963026096817433</v>
      </c>
      <c r="AD127" s="7">
        <f t="shared" si="32"/>
        <v>7.4112621225929237E-2</v>
      </c>
      <c r="AE127" s="7">
        <f t="shared" si="33"/>
        <v>0.10033385623151331</v>
      </c>
      <c r="AF127" s="7">
        <f t="shared" si="34"/>
        <v>5.6011445905394266E-2</v>
      </c>
    </row>
    <row r="128" spans="1:32" x14ac:dyDescent="0.3">
      <c r="A128" s="1">
        <v>38534</v>
      </c>
      <c r="B128">
        <f>AEP!F128</f>
        <v>18.821639999999999</v>
      </c>
      <c r="C128">
        <f>DFSVX!F128</f>
        <v>11.162297000000001</v>
      </c>
      <c r="D128">
        <f>DFLVX!F128</f>
        <v>11.237007999999999</v>
      </c>
      <c r="E128">
        <f>FSAGX!F128</f>
        <v>13.155080999999999</v>
      </c>
      <c r="F128" s="5">
        <f>'FRED Graph'!B138</f>
        <v>3.64</v>
      </c>
      <c r="G128" s="9">
        <f t="shared" si="19"/>
        <v>3.6400000000000002E-2</v>
      </c>
      <c r="H128" s="10">
        <f t="shared" si="24"/>
        <v>0.29616693065215877</v>
      </c>
      <c r="I128" s="10">
        <f t="shared" si="25"/>
        <v>0.27415816422916123</v>
      </c>
      <c r="J128" s="10">
        <f t="shared" si="26"/>
        <v>0.24838375135883964</v>
      </c>
      <c r="K128" s="10">
        <f t="shared" si="26"/>
        <v>0.12156208807571565</v>
      </c>
      <c r="L128" s="10">
        <f t="shared" si="27"/>
        <v>0.22566693065215876</v>
      </c>
      <c r="M128" s="10">
        <f t="shared" si="28"/>
        <v>0.20365816422916122</v>
      </c>
      <c r="N128" s="10">
        <f t="shared" si="29"/>
        <v>0.17788375135883966</v>
      </c>
      <c r="O128" s="10">
        <f t="shared" si="30"/>
        <v>5.1062088075715661E-2</v>
      </c>
      <c r="Y128" s="7">
        <f t="shared" si="20"/>
        <v>0.29616693065215877</v>
      </c>
      <c r="Z128" s="7">
        <f t="shared" si="21"/>
        <v>0.27415816422916123</v>
      </c>
      <c r="AA128" s="7">
        <f t="shared" si="22"/>
        <v>0.24838375135883964</v>
      </c>
      <c r="AB128" s="7">
        <f t="shared" si="23"/>
        <v>0.12156208807571565</v>
      </c>
      <c r="AC128" s="7">
        <f t="shared" si="31"/>
        <v>0.24526693065215877</v>
      </c>
      <c r="AD128" s="7">
        <f t="shared" si="32"/>
        <v>0.22325816422916123</v>
      </c>
      <c r="AE128" s="7">
        <f t="shared" si="33"/>
        <v>0.19748375135883964</v>
      </c>
      <c r="AF128" s="7">
        <f t="shared" si="34"/>
        <v>7.0662088075715654E-2</v>
      </c>
    </row>
    <row r="129" spans="1:32" x14ac:dyDescent="0.3">
      <c r="A129" s="1">
        <v>38565</v>
      </c>
      <c r="B129">
        <f>AEP!F129</f>
        <v>18.082386</v>
      </c>
      <c r="C129">
        <f>DFSVX!F129</f>
        <v>10.976001</v>
      </c>
      <c r="D129">
        <f>DFLVX!F129</f>
        <v>11.143278</v>
      </c>
      <c r="E129">
        <f>FSAGX!F129</f>
        <v>13.862347</v>
      </c>
      <c r="F129" s="5">
        <f>'FRED Graph'!B139</f>
        <v>3.87</v>
      </c>
      <c r="G129" s="9">
        <f t="shared" si="19"/>
        <v>3.8699999999999998E-2</v>
      </c>
      <c r="H129" s="10">
        <f t="shared" si="24"/>
        <v>0.183622450171848</v>
      </c>
      <c r="I129" s="10">
        <f t="shared" si="25"/>
        <v>0.2718600638873237</v>
      </c>
      <c r="J129" s="10">
        <f t="shared" si="26"/>
        <v>0.23797074737994572</v>
      </c>
      <c r="K129" s="10">
        <f t="shared" si="26"/>
        <v>0.1031031020675862</v>
      </c>
      <c r="L129" s="10">
        <f t="shared" si="27"/>
        <v>0.11312245017184801</v>
      </c>
      <c r="M129" s="10">
        <f t="shared" si="28"/>
        <v>0.20136006388732369</v>
      </c>
      <c r="N129" s="10">
        <f t="shared" si="29"/>
        <v>0.16747074737994572</v>
      </c>
      <c r="O129" s="10">
        <f t="shared" si="30"/>
        <v>3.2603102067586209E-2</v>
      </c>
      <c r="Y129" s="7">
        <f t="shared" si="20"/>
        <v>0.183622450171848</v>
      </c>
      <c r="Z129" s="7">
        <f t="shared" si="21"/>
        <v>0.2718600638873237</v>
      </c>
      <c r="AA129" s="7">
        <f t="shared" si="22"/>
        <v>0.23797074737994572</v>
      </c>
      <c r="AB129" s="7">
        <f t="shared" si="23"/>
        <v>0.1031031020675862</v>
      </c>
      <c r="AC129" s="7">
        <f t="shared" si="31"/>
        <v>0.132722450171848</v>
      </c>
      <c r="AD129" s="7">
        <f t="shared" si="32"/>
        <v>0.2209600638873237</v>
      </c>
      <c r="AE129" s="7">
        <f t="shared" si="33"/>
        <v>0.18707074737994572</v>
      </c>
      <c r="AF129" s="7">
        <f t="shared" si="34"/>
        <v>5.2203102067586202E-2</v>
      </c>
    </row>
    <row r="130" spans="1:32" x14ac:dyDescent="0.3">
      <c r="A130" s="1">
        <v>38596</v>
      </c>
      <c r="B130">
        <f>AEP!F130</f>
        <v>19.486668000000002</v>
      </c>
      <c r="C130">
        <f>DFSVX!F130</f>
        <v>11.026458999999999</v>
      </c>
      <c r="D130">
        <f>DFLVX!F130</f>
        <v>11.28387</v>
      </c>
      <c r="E130">
        <f>FSAGX!F130</f>
        <v>16.544502000000001</v>
      </c>
      <c r="F130" s="5">
        <f>'FRED Graph'!B140</f>
        <v>3.85</v>
      </c>
      <c r="G130" s="9">
        <f t="shared" si="19"/>
        <v>3.85E-2</v>
      </c>
      <c r="H130" s="10">
        <f t="shared" si="24"/>
        <v>0.29198238572421015</v>
      </c>
      <c r="I130" s="10">
        <f t="shared" si="25"/>
        <v>0.21779041977010269</v>
      </c>
      <c r="J130" s="10">
        <f t="shared" si="26"/>
        <v>0.21940734434465228</v>
      </c>
      <c r="K130" s="10">
        <f t="shared" si="26"/>
        <v>0.20653741997561048</v>
      </c>
      <c r="L130" s="10">
        <f t="shared" si="27"/>
        <v>0.22148238572421014</v>
      </c>
      <c r="M130" s="10">
        <f t="shared" si="28"/>
        <v>0.14729041977010271</v>
      </c>
      <c r="N130" s="10">
        <f t="shared" si="29"/>
        <v>0.1489073443446523</v>
      </c>
      <c r="O130" s="10">
        <f t="shared" si="30"/>
        <v>0.13603741997561047</v>
      </c>
      <c r="Y130" s="7">
        <f t="shared" si="20"/>
        <v>0.29198238572421015</v>
      </c>
      <c r="Z130" s="7">
        <f t="shared" si="21"/>
        <v>0.21779041977010269</v>
      </c>
      <c r="AA130" s="7">
        <f t="shared" si="22"/>
        <v>0.21940734434465228</v>
      </c>
      <c r="AB130" s="7">
        <f t="shared" si="23"/>
        <v>0.20653741997561048</v>
      </c>
      <c r="AC130" s="7">
        <f t="shared" si="31"/>
        <v>0.24108238572421015</v>
      </c>
      <c r="AD130" s="7">
        <f t="shared" si="32"/>
        <v>0.16689041977010269</v>
      </c>
      <c r="AE130" s="7">
        <f t="shared" si="33"/>
        <v>0.16850734434465228</v>
      </c>
      <c r="AF130" s="7">
        <f t="shared" si="34"/>
        <v>0.15563741997561048</v>
      </c>
    </row>
    <row r="131" spans="1:32" x14ac:dyDescent="0.3">
      <c r="A131" s="1">
        <v>38626</v>
      </c>
      <c r="B131">
        <f>AEP!F131</f>
        <v>18.632593</v>
      </c>
      <c r="C131">
        <f>DFSVX!F131</f>
        <v>10.564711000000001</v>
      </c>
      <c r="D131">
        <f>DFLVX!F131</f>
        <v>11.012323</v>
      </c>
      <c r="E131">
        <f>FSAGX!F131</f>
        <v>15.608739</v>
      </c>
      <c r="F131" s="5">
        <f>'FRED Graph'!B141</f>
        <v>4.18</v>
      </c>
      <c r="G131" s="9">
        <f t="shared" ref="G131:G194" si="35">F131/100</f>
        <v>4.1799999999999997E-2</v>
      </c>
      <c r="H131" s="10">
        <f t="shared" si="24"/>
        <v>0.19896751282388525</v>
      </c>
      <c r="I131" s="10">
        <f t="shared" si="25"/>
        <v>0.15558265053830955</v>
      </c>
      <c r="J131" s="10">
        <f t="shared" si="26"/>
        <v>0.17313953591185652</v>
      </c>
      <c r="K131" s="10">
        <f t="shared" si="26"/>
        <v>0.10920378814102115</v>
      </c>
      <c r="L131" s="10">
        <f t="shared" si="27"/>
        <v>0.12846751282388524</v>
      </c>
      <c r="M131" s="10">
        <f t="shared" si="28"/>
        <v>8.5082650538309559E-2</v>
      </c>
      <c r="N131" s="10">
        <f t="shared" si="29"/>
        <v>0.10263953591185652</v>
      </c>
      <c r="O131" s="10">
        <f t="shared" si="30"/>
        <v>3.8703788141021156E-2</v>
      </c>
      <c r="Y131" s="7">
        <f t="shared" si="20"/>
        <v>0.19896751282388525</v>
      </c>
      <c r="Z131" s="7">
        <f t="shared" si="21"/>
        <v>0.15558265053830955</v>
      </c>
      <c r="AA131" s="7">
        <f t="shared" si="22"/>
        <v>0.17313953591185652</v>
      </c>
      <c r="AB131" s="7">
        <f t="shared" si="23"/>
        <v>0.10920378814102115</v>
      </c>
      <c r="AC131" s="7">
        <f t="shared" si="31"/>
        <v>0.14806751282388525</v>
      </c>
      <c r="AD131" s="7">
        <f t="shared" si="32"/>
        <v>0.10468265053830955</v>
      </c>
      <c r="AE131" s="7">
        <f t="shared" si="33"/>
        <v>0.12223953591185652</v>
      </c>
      <c r="AF131" s="7">
        <f t="shared" si="34"/>
        <v>5.8303788141021148E-2</v>
      </c>
    </row>
    <row r="132" spans="1:32" x14ac:dyDescent="0.3">
      <c r="A132" s="1">
        <v>38657</v>
      </c>
      <c r="B132">
        <f>AEP!F132</f>
        <v>17.935585</v>
      </c>
      <c r="C132">
        <f>DFSVX!F132</f>
        <v>11.191659</v>
      </c>
      <c r="D132">
        <f>DFLVX!F132</f>
        <v>11.450931000000001</v>
      </c>
      <c r="E132">
        <f>FSAGX!F132</f>
        <v>17.839338000000001</v>
      </c>
      <c r="F132" s="5">
        <f>'FRED Graph'!B142</f>
        <v>4.33</v>
      </c>
      <c r="G132" s="9">
        <f t="shared" si="35"/>
        <v>4.3299999999999998E-2</v>
      </c>
      <c r="H132" s="10">
        <f t="shared" si="24"/>
        <v>0.112234333650115</v>
      </c>
      <c r="I132" s="10">
        <f t="shared" si="25"/>
        <v>0.1128316621788778</v>
      </c>
      <c r="J132" s="10">
        <f t="shared" si="26"/>
        <v>0.14492170522072845</v>
      </c>
      <c r="K132" s="10">
        <f t="shared" si="26"/>
        <v>0.22392564293470954</v>
      </c>
      <c r="L132" s="10">
        <f t="shared" si="27"/>
        <v>4.1734333650115002E-2</v>
      </c>
      <c r="M132" s="10">
        <f t="shared" si="28"/>
        <v>4.2331662178877807E-2</v>
      </c>
      <c r="N132" s="10">
        <f t="shared" si="29"/>
        <v>7.4421705220728454E-2</v>
      </c>
      <c r="O132" s="10">
        <f t="shared" si="30"/>
        <v>0.15342564293470956</v>
      </c>
      <c r="Y132" s="7">
        <f t="shared" si="20"/>
        <v>0.112234333650115</v>
      </c>
      <c r="Z132" s="7">
        <f t="shared" si="21"/>
        <v>0.1128316621788778</v>
      </c>
      <c r="AA132" s="7">
        <f t="shared" si="22"/>
        <v>0.14492170522072845</v>
      </c>
      <c r="AB132" s="7">
        <f t="shared" si="23"/>
        <v>0.22392564293470954</v>
      </c>
      <c r="AC132" s="7">
        <f t="shared" si="31"/>
        <v>6.1334333650114994E-2</v>
      </c>
      <c r="AD132" s="7">
        <f t="shared" si="32"/>
        <v>6.19316621788778E-2</v>
      </c>
      <c r="AE132" s="7">
        <f t="shared" si="33"/>
        <v>9.4021705220728446E-2</v>
      </c>
      <c r="AF132" s="7">
        <f t="shared" si="34"/>
        <v>0.17302564293470954</v>
      </c>
    </row>
    <row r="133" spans="1:32" x14ac:dyDescent="0.3">
      <c r="A133" s="1">
        <v>38687</v>
      </c>
      <c r="B133">
        <f>AEP!F133</f>
        <v>18.389446</v>
      </c>
      <c r="C133">
        <f>DFSVX!F133</f>
        <v>10.327168</v>
      </c>
      <c r="D133">
        <f>DFLVX!F133</f>
        <v>11.356944</v>
      </c>
      <c r="E133">
        <f>FSAGX!F133</f>
        <v>18.084157999999999</v>
      </c>
      <c r="F133" s="5">
        <f>'FRED Graph'!B143</f>
        <v>4.3499999999999996</v>
      </c>
      <c r="G133" s="9">
        <f t="shared" si="35"/>
        <v>4.3499999999999997E-2</v>
      </c>
      <c r="H133" s="10">
        <f t="shared" si="24"/>
        <v>0.12317544150247907</v>
      </c>
      <c r="I133" s="10">
        <f t="shared" si="25"/>
        <v>5.8579593188955267E-2</v>
      </c>
      <c r="J133" s="10">
        <f t="shared" si="26"/>
        <v>9.7013379147254095E-2</v>
      </c>
      <c r="K133" s="10">
        <f t="shared" si="26"/>
        <v>0.30803764170193548</v>
      </c>
      <c r="L133" s="10">
        <f t="shared" si="27"/>
        <v>5.2675441502479076E-2</v>
      </c>
      <c r="M133" s="10">
        <f t="shared" si="28"/>
        <v>-1.1920406811044726E-2</v>
      </c>
      <c r="N133" s="10">
        <f t="shared" si="29"/>
        <v>2.6513379147254101E-2</v>
      </c>
      <c r="O133" s="10">
        <f t="shared" si="30"/>
        <v>0.23753764170193548</v>
      </c>
      <c r="Y133" s="7">
        <f t="shared" si="20"/>
        <v>0.12317544150247907</v>
      </c>
      <c r="Z133" s="7">
        <f t="shared" si="21"/>
        <v>5.8579593188955267E-2</v>
      </c>
      <c r="AA133" s="7">
        <f t="shared" si="22"/>
        <v>9.7013379147254095E-2</v>
      </c>
      <c r="AB133" s="7">
        <f t="shared" si="23"/>
        <v>0.30803764170193548</v>
      </c>
      <c r="AC133" s="7">
        <f t="shared" si="31"/>
        <v>7.2275441502479068E-2</v>
      </c>
      <c r="AD133" s="7">
        <f t="shared" si="32"/>
        <v>7.6795931889552665E-3</v>
      </c>
      <c r="AE133" s="7">
        <f t="shared" si="33"/>
        <v>4.6113379147254094E-2</v>
      </c>
      <c r="AF133" s="7">
        <f t="shared" si="34"/>
        <v>0.25713764170193548</v>
      </c>
    </row>
    <row r="134" spans="1:32" x14ac:dyDescent="0.3">
      <c r="A134" s="1">
        <v>38718</v>
      </c>
      <c r="B134">
        <f>AEP!F134</f>
        <v>18.503488999999998</v>
      </c>
      <c r="C134">
        <f>DFSVX!F134</f>
        <v>12.206759999999999</v>
      </c>
      <c r="D134">
        <f>DFLVX!F134</f>
        <v>12.007422</v>
      </c>
      <c r="E134">
        <f>FSAGX!F134</f>
        <v>22.547825</v>
      </c>
      <c r="F134" s="5">
        <f>'FRED Graph'!B144</f>
        <v>4.45</v>
      </c>
      <c r="G134" s="9">
        <f t="shared" si="35"/>
        <v>4.4500000000000005E-2</v>
      </c>
      <c r="H134" s="10">
        <f t="shared" si="24"/>
        <v>0.10096556704118802</v>
      </c>
      <c r="I134" s="10">
        <f t="shared" si="25"/>
        <v>0.21510256754319274</v>
      </c>
      <c r="J134" s="10">
        <f t="shared" si="26"/>
        <v>0.18403697749560766</v>
      </c>
      <c r="K134" s="10">
        <f t="shared" si="26"/>
        <v>0.71502306605270782</v>
      </c>
      <c r="L134" s="10">
        <f t="shared" si="27"/>
        <v>3.0465567041188024E-2</v>
      </c>
      <c r="M134" s="10">
        <f t="shared" si="28"/>
        <v>0.14460256754319273</v>
      </c>
      <c r="N134" s="10">
        <f t="shared" si="29"/>
        <v>0.11353697749560766</v>
      </c>
      <c r="O134" s="10">
        <f t="shared" si="30"/>
        <v>0.64452306605270782</v>
      </c>
      <c r="Y134" s="7">
        <f t="shared" si="20"/>
        <v>0.10096556704118802</v>
      </c>
      <c r="Z134" s="7">
        <f t="shared" si="21"/>
        <v>0.21510256754319274</v>
      </c>
      <c r="AA134" s="7">
        <f t="shared" si="22"/>
        <v>0.18403697749560766</v>
      </c>
      <c r="AB134" s="7">
        <f t="shared" si="23"/>
        <v>0.71502306605270782</v>
      </c>
      <c r="AC134" s="7">
        <f t="shared" si="31"/>
        <v>5.0065567041188017E-2</v>
      </c>
      <c r="AD134" s="7">
        <f t="shared" si="32"/>
        <v>0.16420256754319273</v>
      </c>
      <c r="AE134" s="7">
        <f t="shared" si="33"/>
        <v>0.13313697749560766</v>
      </c>
      <c r="AF134" s="7">
        <f t="shared" si="34"/>
        <v>0.66412306605270777</v>
      </c>
    </row>
    <row r="135" spans="1:32" x14ac:dyDescent="0.3">
      <c r="A135" s="1">
        <v>38749</v>
      </c>
      <c r="B135">
        <f>AEP!F135</f>
        <v>18.096920000000001</v>
      </c>
      <c r="C135">
        <f>DFSVX!F135</f>
        <v>12.164464000000001</v>
      </c>
      <c r="D135">
        <f>DFLVX!F135</f>
        <v>11.965255000000001</v>
      </c>
      <c r="E135">
        <f>FSAGX!F135</f>
        <v>21.003689000000001</v>
      </c>
      <c r="F135" s="5">
        <f>'FRED Graph'!B145</f>
        <v>4.68</v>
      </c>
      <c r="G135" s="9">
        <f t="shared" si="35"/>
        <v>4.6799999999999994E-2</v>
      </c>
      <c r="H135" s="10">
        <f t="shared" si="24"/>
        <v>0.13641591411302686</v>
      </c>
      <c r="I135" s="10">
        <f t="shared" si="25"/>
        <v>0.17905102806827278</v>
      </c>
      <c r="J135" s="10">
        <f t="shared" si="26"/>
        <v>0.1453143713262659</v>
      </c>
      <c r="K135" s="10">
        <f t="shared" si="26"/>
        <v>0.48986614981647375</v>
      </c>
      <c r="L135" s="10">
        <f t="shared" si="27"/>
        <v>6.5915914113026872E-2</v>
      </c>
      <c r="M135" s="10">
        <f t="shared" si="28"/>
        <v>0.10855102806827278</v>
      </c>
      <c r="N135" s="10">
        <f t="shared" si="29"/>
        <v>7.4814371326265908E-2</v>
      </c>
      <c r="O135" s="10">
        <f t="shared" si="30"/>
        <v>0.41936614981647374</v>
      </c>
      <c r="Y135" s="7">
        <f t="shared" si="20"/>
        <v>0.13641591411302686</v>
      </c>
      <c r="Z135" s="7">
        <f t="shared" si="21"/>
        <v>0.17905102806827278</v>
      </c>
      <c r="AA135" s="7">
        <f t="shared" si="22"/>
        <v>0.1453143713262659</v>
      </c>
      <c r="AB135" s="7">
        <f t="shared" si="23"/>
        <v>0.48986614981647375</v>
      </c>
      <c r="AC135" s="7">
        <f t="shared" si="31"/>
        <v>8.5515914113026864E-2</v>
      </c>
      <c r="AD135" s="7">
        <f t="shared" si="32"/>
        <v>0.12815102806827278</v>
      </c>
      <c r="AE135" s="7">
        <f t="shared" si="33"/>
        <v>9.44143713262659E-2</v>
      </c>
      <c r="AF135" s="7">
        <f t="shared" si="34"/>
        <v>0.43896614981647375</v>
      </c>
    </row>
    <row r="136" spans="1:32" x14ac:dyDescent="0.3">
      <c r="A136" s="1">
        <v>38777</v>
      </c>
      <c r="B136">
        <f>AEP!F136</f>
        <v>17.042431000000001</v>
      </c>
      <c r="C136">
        <f>DFSVX!F136</f>
        <v>12.887727999999999</v>
      </c>
      <c r="D136">
        <f>DFLVX!F136</f>
        <v>12.155011</v>
      </c>
      <c r="E136">
        <f>FSAGX!F136</f>
        <v>22.805174000000001</v>
      </c>
      <c r="F136" s="5">
        <f>'FRED Graph'!B146</f>
        <v>4.7699999999999996</v>
      </c>
      <c r="G136" s="9">
        <f t="shared" si="35"/>
        <v>4.7699999999999992E-2</v>
      </c>
      <c r="H136" s="10">
        <f t="shared" si="24"/>
        <v>3.9060732850352949E-2</v>
      </c>
      <c r="I136" s="10">
        <f t="shared" si="25"/>
        <v>0.27404106318637594</v>
      </c>
      <c r="J136" s="10">
        <f t="shared" si="26"/>
        <v>0.16811735402774761</v>
      </c>
      <c r="K136" s="10">
        <f t="shared" si="26"/>
        <v>0.68841180853104567</v>
      </c>
      <c r="L136" s="10">
        <f t="shared" si="27"/>
        <v>-3.1439267149647045E-2</v>
      </c>
      <c r="M136" s="10">
        <f t="shared" si="28"/>
        <v>0.20354106318637594</v>
      </c>
      <c r="N136" s="10">
        <f t="shared" si="29"/>
        <v>9.7617354027747613E-2</v>
      </c>
      <c r="O136" s="10">
        <f t="shared" si="30"/>
        <v>0.61791180853104566</v>
      </c>
      <c r="Y136" s="7">
        <f t="shared" si="20"/>
        <v>3.9060732850352949E-2</v>
      </c>
      <c r="Z136" s="7">
        <f t="shared" si="21"/>
        <v>0.27404106318637594</v>
      </c>
      <c r="AA136" s="7">
        <f t="shared" si="22"/>
        <v>0.16811735402774761</v>
      </c>
      <c r="AB136" s="7">
        <f t="shared" si="23"/>
        <v>0.68841180853104567</v>
      </c>
      <c r="AC136" s="7">
        <f t="shared" si="31"/>
        <v>-1.1839267149647052E-2</v>
      </c>
      <c r="AD136" s="7">
        <f t="shared" si="32"/>
        <v>0.22314106318637594</v>
      </c>
      <c r="AE136" s="7">
        <f t="shared" si="33"/>
        <v>0.11721735402774761</v>
      </c>
      <c r="AF136" s="7">
        <f t="shared" si="34"/>
        <v>0.63751180853104561</v>
      </c>
    </row>
    <row r="137" spans="1:32" x14ac:dyDescent="0.3">
      <c r="A137" s="1">
        <v>38808</v>
      </c>
      <c r="B137">
        <f>AEP!F137</f>
        <v>16.761894000000002</v>
      </c>
      <c r="C137">
        <f>DFSVX!F137</f>
        <v>13.032935</v>
      </c>
      <c r="D137">
        <f>DFLVX!F137</f>
        <v>12.518772999999999</v>
      </c>
      <c r="E137">
        <f>FSAGX!F137</f>
        <v>22.582916000000001</v>
      </c>
      <c r="F137" s="5">
        <f>'FRED Graph'!B147</f>
        <v>4.9000000000000004</v>
      </c>
      <c r="G137" s="9">
        <f t="shared" si="35"/>
        <v>4.9000000000000002E-2</v>
      </c>
      <c r="H137" s="10">
        <f t="shared" si="24"/>
        <v>-1.1702047685883992E-2</v>
      </c>
      <c r="I137" s="10">
        <f t="shared" si="25"/>
        <v>0.38949973069179583</v>
      </c>
      <c r="J137" s="10">
        <f t="shared" si="26"/>
        <v>0.24424064859518227</v>
      </c>
      <c r="K137" s="10">
        <f t="shared" si="26"/>
        <v>1.0052805414162167</v>
      </c>
      <c r="L137" s="10">
        <f t="shared" si="27"/>
        <v>-8.2202047685883989E-2</v>
      </c>
      <c r="M137" s="10">
        <f t="shared" si="28"/>
        <v>0.31899973069179582</v>
      </c>
      <c r="N137" s="10">
        <f t="shared" si="29"/>
        <v>0.17374064859518229</v>
      </c>
      <c r="O137" s="10">
        <f t="shared" si="30"/>
        <v>0.93478054141621669</v>
      </c>
      <c r="Y137" s="7">
        <f t="shared" si="20"/>
        <v>-1.1702047685883992E-2</v>
      </c>
      <c r="Z137" s="7">
        <f t="shared" si="21"/>
        <v>0.38949973069179583</v>
      </c>
      <c r="AA137" s="7">
        <f t="shared" si="22"/>
        <v>0.24424064859518227</v>
      </c>
      <c r="AB137" s="7">
        <f t="shared" si="23"/>
        <v>1.0052805414162167</v>
      </c>
      <c r="AC137" s="7">
        <f t="shared" si="31"/>
        <v>-6.2602047685883996E-2</v>
      </c>
      <c r="AD137" s="7">
        <f t="shared" si="32"/>
        <v>0.33859973069179583</v>
      </c>
      <c r="AE137" s="7">
        <f t="shared" si="33"/>
        <v>0.19334064859518227</v>
      </c>
      <c r="AF137" s="7">
        <f t="shared" si="34"/>
        <v>0.95438054141621675</v>
      </c>
    </row>
    <row r="138" spans="1:32" x14ac:dyDescent="0.3">
      <c r="A138" s="1">
        <v>38838</v>
      </c>
      <c r="B138">
        <f>AEP!F138</f>
        <v>17.167674999999999</v>
      </c>
      <c r="C138">
        <f>DFSVX!F138</f>
        <v>12.461131999999999</v>
      </c>
      <c r="D138">
        <f>DFLVX!F138</f>
        <v>12.286455</v>
      </c>
      <c r="E138">
        <f>FSAGX!F138</f>
        <v>22.809346999999999</v>
      </c>
      <c r="F138" s="5">
        <f>'FRED Graph'!B148</f>
        <v>5</v>
      </c>
      <c r="G138" s="9">
        <f t="shared" si="35"/>
        <v>0.05</v>
      </c>
      <c r="H138" s="10">
        <f t="shared" si="24"/>
        <v>-1.1069024947723647E-3</v>
      </c>
      <c r="I138" s="10">
        <f t="shared" si="25"/>
        <v>0.24566413807822268</v>
      </c>
      <c r="J138" s="10">
        <f t="shared" si="26"/>
        <v>0.17097487052896151</v>
      </c>
      <c r="K138" s="10">
        <f t="shared" si="26"/>
        <v>0.87501079950003746</v>
      </c>
      <c r="L138" s="10">
        <f t="shared" si="27"/>
        <v>-7.1606902494772362E-2</v>
      </c>
      <c r="M138" s="10">
        <f t="shared" si="28"/>
        <v>0.17516413807822268</v>
      </c>
      <c r="N138" s="10">
        <f t="shared" si="29"/>
        <v>0.10047487052896152</v>
      </c>
      <c r="O138" s="10">
        <f t="shared" si="30"/>
        <v>0.80451079950003745</v>
      </c>
      <c r="Y138" s="7">
        <f t="shared" si="20"/>
        <v>-1.1069024947723647E-3</v>
      </c>
      <c r="Z138" s="7">
        <f t="shared" si="21"/>
        <v>0.24566413807822268</v>
      </c>
      <c r="AA138" s="7">
        <f t="shared" si="22"/>
        <v>0.17097487052896151</v>
      </c>
      <c r="AB138" s="7">
        <f t="shared" si="23"/>
        <v>0.87501079950003746</v>
      </c>
      <c r="AC138" s="7">
        <f t="shared" si="31"/>
        <v>-5.2006902494772363E-2</v>
      </c>
      <c r="AD138" s="7">
        <f t="shared" si="32"/>
        <v>0.19476413807822268</v>
      </c>
      <c r="AE138" s="7">
        <f t="shared" si="33"/>
        <v>0.12007487052896151</v>
      </c>
      <c r="AF138" s="7">
        <f t="shared" si="34"/>
        <v>0.82411079950003741</v>
      </c>
    </row>
    <row r="139" spans="1:32" x14ac:dyDescent="0.3">
      <c r="A139" s="1">
        <v>38869</v>
      </c>
      <c r="B139">
        <f>AEP!F139</f>
        <v>17.346927999999998</v>
      </c>
      <c r="C139">
        <f>DFSVX!F139</f>
        <v>12.439954</v>
      </c>
      <c r="D139">
        <f>DFLVX!F139</f>
        <v>12.344538</v>
      </c>
      <c r="E139">
        <f>FSAGX!F139</f>
        <v>22.342396000000001</v>
      </c>
      <c r="F139" s="5">
        <f>'FRED Graph'!B149</f>
        <v>5.16</v>
      </c>
      <c r="G139" s="9">
        <f t="shared" si="35"/>
        <v>5.16E-2</v>
      </c>
      <c r="H139" s="10">
        <f t="shared" si="24"/>
        <v>-3.2606920187871452E-2</v>
      </c>
      <c r="I139" s="10">
        <f t="shared" si="25"/>
        <v>0.1953801270009598</v>
      </c>
      <c r="J139" s="10">
        <f t="shared" si="26"/>
        <v>0.15590995007443229</v>
      </c>
      <c r="K139" s="10">
        <f t="shared" si="26"/>
        <v>0.69488010691923185</v>
      </c>
      <c r="L139" s="10">
        <f t="shared" si="27"/>
        <v>-0.10310692018787145</v>
      </c>
      <c r="M139" s="10">
        <f t="shared" si="28"/>
        <v>0.12488012700095981</v>
      </c>
      <c r="N139" s="10">
        <f t="shared" si="29"/>
        <v>8.5409950074432292E-2</v>
      </c>
      <c r="O139" s="10">
        <f t="shared" si="30"/>
        <v>0.62438010691923185</v>
      </c>
      <c r="Y139" s="7">
        <f t="shared" si="20"/>
        <v>-3.2606920187871452E-2</v>
      </c>
      <c r="Z139" s="7">
        <f t="shared" si="21"/>
        <v>0.1953801270009598</v>
      </c>
      <c r="AA139" s="7">
        <f t="shared" si="22"/>
        <v>0.15590995007443229</v>
      </c>
      <c r="AB139" s="7">
        <f t="shared" si="23"/>
        <v>0.69488010691923185</v>
      </c>
      <c r="AC139" s="7">
        <f t="shared" si="31"/>
        <v>-8.3506920187871453E-2</v>
      </c>
      <c r="AD139" s="7">
        <f t="shared" si="32"/>
        <v>0.1444801270009598</v>
      </c>
      <c r="AE139" s="7">
        <f t="shared" si="33"/>
        <v>0.10500995007443228</v>
      </c>
      <c r="AF139" s="7">
        <f t="shared" si="34"/>
        <v>0.64398010691923191</v>
      </c>
    </row>
    <row r="140" spans="1:32" x14ac:dyDescent="0.3">
      <c r="A140" s="1">
        <v>38899</v>
      </c>
      <c r="B140">
        <f>AEP!F140</f>
        <v>18.294039000000001</v>
      </c>
      <c r="C140">
        <f>DFSVX!F140</f>
        <v>12.000233</v>
      </c>
      <c r="D140">
        <f>DFLVX!F140</f>
        <v>12.212840999999999</v>
      </c>
      <c r="E140">
        <f>FSAGX!F140</f>
        <v>22.348875</v>
      </c>
      <c r="F140" s="5">
        <f>'FRED Graph'!B150</f>
        <v>5.22</v>
      </c>
      <c r="G140" s="9">
        <f t="shared" si="35"/>
        <v>5.2199999999999996E-2</v>
      </c>
      <c r="H140" s="10">
        <f t="shared" si="24"/>
        <v>-2.8031616798536E-2</v>
      </c>
      <c r="I140" s="10">
        <f t="shared" si="25"/>
        <v>7.5068420057269492E-2</v>
      </c>
      <c r="J140" s="10">
        <f t="shared" si="26"/>
        <v>8.6840998956305787E-2</v>
      </c>
      <c r="K140" s="10">
        <f t="shared" si="26"/>
        <v>0.69887779482315626</v>
      </c>
      <c r="L140" s="10">
        <f t="shared" si="27"/>
        <v>-9.853161679853599E-2</v>
      </c>
      <c r="M140" s="10">
        <f t="shared" si="28"/>
        <v>4.5684200572694983E-3</v>
      </c>
      <c r="N140" s="10">
        <f t="shared" si="29"/>
        <v>1.6340998956305794E-2</v>
      </c>
      <c r="O140" s="10">
        <f t="shared" si="30"/>
        <v>0.62837779482315625</v>
      </c>
      <c r="Y140" s="7">
        <f t="shared" si="20"/>
        <v>-2.8031616798536E-2</v>
      </c>
      <c r="Z140" s="7">
        <f t="shared" si="21"/>
        <v>7.5068420057269492E-2</v>
      </c>
      <c r="AA140" s="7">
        <f t="shared" si="22"/>
        <v>8.6840998956305787E-2</v>
      </c>
      <c r="AB140" s="7">
        <f t="shared" si="23"/>
        <v>0.69887779482315626</v>
      </c>
      <c r="AC140" s="7">
        <f t="shared" si="31"/>
        <v>-7.8931616798535997E-2</v>
      </c>
      <c r="AD140" s="7">
        <f t="shared" si="32"/>
        <v>2.4168420057269491E-2</v>
      </c>
      <c r="AE140" s="7">
        <f t="shared" si="33"/>
        <v>3.5940998956305786E-2</v>
      </c>
      <c r="AF140" s="7">
        <f t="shared" si="34"/>
        <v>0.64797779482315621</v>
      </c>
    </row>
    <row r="141" spans="1:32" x14ac:dyDescent="0.3">
      <c r="A141" s="1">
        <v>38930</v>
      </c>
      <c r="B141">
        <f>AEP!F141</f>
        <v>18.476382999999998</v>
      </c>
      <c r="C141">
        <f>DFSVX!F141</f>
        <v>12.233698</v>
      </c>
      <c r="D141">
        <f>DFLVX!F141</f>
        <v>12.408973</v>
      </c>
      <c r="E141">
        <f>FSAGX!F141</f>
        <v>23.198474999999998</v>
      </c>
      <c r="F141" s="5">
        <f>'FRED Graph'!B151</f>
        <v>5.08</v>
      </c>
      <c r="G141" s="9">
        <f t="shared" si="35"/>
        <v>5.0799999999999998E-2</v>
      </c>
      <c r="H141" s="10">
        <f t="shared" si="24"/>
        <v>2.1788993996699264E-2</v>
      </c>
      <c r="I141" s="10">
        <f t="shared" si="25"/>
        <v>0.11458608649908107</v>
      </c>
      <c r="J141" s="10">
        <f t="shared" si="26"/>
        <v>0.11358372285067277</v>
      </c>
      <c r="K141" s="10">
        <f t="shared" si="26"/>
        <v>0.67348826284611107</v>
      </c>
      <c r="L141" s="10">
        <f t="shared" si="27"/>
        <v>-4.8711006003300729E-2</v>
      </c>
      <c r="M141" s="10">
        <f t="shared" si="28"/>
        <v>4.4086086499081079E-2</v>
      </c>
      <c r="N141" s="10">
        <f t="shared" si="29"/>
        <v>4.3083722850672773E-2</v>
      </c>
      <c r="O141" s="10">
        <f t="shared" si="30"/>
        <v>0.60298826284611107</v>
      </c>
      <c r="Y141" s="7">
        <f t="shared" si="20"/>
        <v>2.1788993996699264E-2</v>
      </c>
      <c r="Z141" s="7">
        <f t="shared" si="21"/>
        <v>0.11458608649908107</v>
      </c>
      <c r="AA141" s="7">
        <f t="shared" si="22"/>
        <v>0.11358372285067277</v>
      </c>
      <c r="AB141" s="7">
        <f t="shared" si="23"/>
        <v>0.67348826284611107</v>
      </c>
      <c r="AC141" s="7">
        <f t="shared" si="31"/>
        <v>-2.9111006003300736E-2</v>
      </c>
      <c r="AD141" s="7">
        <f t="shared" si="32"/>
        <v>6.3686086499081071E-2</v>
      </c>
      <c r="AE141" s="7">
        <f t="shared" si="33"/>
        <v>6.2683722850672766E-2</v>
      </c>
      <c r="AF141" s="7">
        <f t="shared" si="34"/>
        <v>0.62258826284611102</v>
      </c>
    </row>
    <row r="142" spans="1:32" x14ac:dyDescent="0.3">
      <c r="A142" s="1">
        <v>38961</v>
      </c>
      <c r="B142">
        <f>AEP!F142</f>
        <v>18.608989999999999</v>
      </c>
      <c r="C142">
        <f>DFSVX!F142</f>
        <v>12.344067000000001</v>
      </c>
      <c r="D142">
        <f>DFLVX!F142</f>
        <v>12.711111000000001</v>
      </c>
      <c r="E142">
        <f>FSAGX!F142</f>
        <v>21.667905999999999</v>
      </c>
      <c r="F142" s="5">
        <f>'FRED Graph'!B152</f>
        <v>4.97</v>
      </c>
      <c r="G142" s="9">
        <f t="shared" si="35"/>
        <v>4.9699999999999994E-2</v>
      </c>
      <c r="H142" s="10">
        <f t="shared" si="24"/>
        <v>-4.5039921653101646E-2</v>
      </c>
      <c r="I142" s="10">
        <f t="shared" si="25"/>
        <v>0.11949511624720155</v>
      </c>
      <c r="J142" s="10">
        <f t="shared" si="26"/>
        <v>0.12648506230575152</v>
      </c>
      <c r="K142" s="10">
        <f t="shared" si="26"/>
        <v>0.30967411409542556</v>
      </c>
      <c r="L142" s="10">
        <f t="shared" si="27"/>
        <v>-0.11553992165310165</v>
      </c>
      <c r="M142" s="10">
        <f t="shared" si="28"/>
        <v>4.8995116247201556E-2</v>
      </c>
      <c r="N142" s="10">
        <f t="shared" si="29"/>
        <v>5.5985062305751523E-2</v>
      </c>
      <c r="O142" s="10">
        <f t="shared" si="30"/>
        <v>0.23917411409542555</v>
      </c>
      <c r="Y142" s="7">
        <f t="shared" ref="Y142:Y205" si="36">(B142-B130)/B130</f>
        <v>-4.5039921653101646E-2</v>
      </c>
      <c r="Z142" s="7">
        <f t="shared" ref="Z142:Z205" si="37">(C142-C130)/C130</f>
        <v>0.11949511624720155</v>
      </c>
      <c r="AA142" s="7">
        <f t="shared" ref="AA142:AA205" si="38">(D142-D130)/D130</f>
        <v>0.12648506230575152</v>
      </c>
      <c r="AB142" s="7">
        <f t="shared" ref="AB142:AB205" si="39">(E142-E130)/E130</f>
        <v>0.30967411409542556</v>
      </c>
      <c r="AC142" s="7">
        <f t="shared" si="31"/>
        <v>-9.593992165310164E-2</v>
      </c>
      <c r="AD142" s="7">
        <f t="shared" si="32"/>
        <v>6.8595116247201549E-2</v>
      </c>
      <c r="AE142" s="7">
        <f t="shared" si="33"/>
        <v>7.5585062305751516E-2</v>
      </c>
      <c r="AF142" s="7">
        <f t="shared" si="34"/>
        <v>0.25877411409542556</v>
      </c>
    </row>
    <row r="143" spans="1:32" x14ac:dyDescent="0.3">
      <c r="A143" s="1">
        <v>38991</v>
      </c>
      <c r="B143">
        <f>AEP!F143</f>
        <v>21.197980999999999</v>
      </c>
      <c r="C143">
        <f>DFSVX!F143</f>
        <v>13.052295000000001</v>
      </c>
      <c r="D143">
        <f>DFLVX!F143</f>
        <v>13.257358</v>
      </c>
      <c r="E143">
        <f>FSAGX!F143</f>
        <v>22.478586</v>
      </c>
      <c r="F143" s="5">
        <f>'FRED Graph'!B153</f>
        <v>5.01</v>
      </c>
      <c r="G143" s="9">
        <f t="shared" si="35"/>
        <v>5.0099999999999999E-2</v>
      </c>
      <c r="H143" s="10">
        <f t="shared" ref="H143:H206" si="40">(B143-B131)/B131</f>
        <v>0.13768282278263677</v>
      </c>
      <c r="I143" s="10">
        <f t="shared" ref="I143:I206" si="41">(C143-C131)/C131</f>
        <v>0.23546162313384625</v>
      </c>
      <c r="J143" s="10">
        <f t="shared" ref="J143:K206" si="42">(D143-D131)/D131</f>
        <v>0.20386570571894772</v>
      </c>
      <c r="K143" s="10">
        <f t="shared" si="42"/>
        <v>0.44012825123156968</v>
      </c>
      <c r="L143" s="10">
        <f t="shared" ref="L143:L206" si="43">H143-$G$2</f>
        <v>6.7182822782636778E-2</v>
      </c>
      <c r="M143" s="10">
        <f t="shared" ref="M143:M206" si="44">I143-$G$2</f>
        <v>0.16496162313384627</v>
      </c>
      <c r="N143" s="10">
        <f t="shared" ref="N143:N206" si="45">J143-$G$2</f>
        <v>0.13336570571894774</v>
      </c>
      <c r="O143" s="10">
        <f t="shared" ref="O143:O206" si="46">K143-$G$2</f>
        <v>0.36962825123156967</v>
      </c>
      <c r="Y143" s="7">
        <f t="shared" si="36"/>
        <v>0.13768282278263677</v>
      </c>
      <c r="Z143" s="7">
        <f t="shared" si="37"/>
        <v>0.23546162313384625</v>
      </c>
      <c r="AA143" s="7">
        <f t="shared" si="38"/>
        <v>0.20386570571894772</v>
      </c>
      <c r="AB143" s="7">
        <f t="shared" si="39"/>
        <v>0.44012825123156968</v>
      </c>
      <c r="AC143" s="7">
        <f t="shared" ref="AC143:AC206" si="47">Y143-$F$14/100</f>
        <v>8.678282278263677E-2</v>
      </c>
      <c r="AD143" s="7">
        <f t="shared" ref="AD143:AD206" si="48">Z143-$F$14/100</f>
        <v>0.18456162313384625</v>
      </c>
      <c r="AE143" s="7">
        <f t="shared" ref="AE143:AE206" si="49">AA143-$F$14/100</f>
        <v>0.15296570571894771</v>
      </c>
      <c r="AF143" s="7">
        <f t="shared" ref="AF143:AF206" si="50">AB143-$F$14/100</f>
        <v>0.38922825123156968</v>
      </c>
    </row>
    <row r="144" spans="1:32" x14ac:dyDescent="0.3">
      <c r="A144" s="1">
        <v>39022</v>
      </c>
      <c r="B144">
        <f>AEP!F144</f>
        <v>21.238916</v>
      </c>
      <c r="C144">
        <f>DFSVX!F144</f>
        <v>13.448205</v>
      </c>
      <c r="D144">
        <f>DFLVX!F144</f>
        <v>13.507292</v>
      </c>
      <c r="E144">
        <f>FSAGX!F144</f>
        <v>25.079256000000001</v>
      </c>
      <c r="F144" s="5">
        <f>'FRED Graph'!B154</f>
        <v>5.01</v>
      </c>
      <c r="G144" s="9">
        <f t="shared" si="35"/>
        <v>5.0099999999999999E-2</v>
      </c>
      <c r="H144" s="10">
        <f t="shared" si="40"/>
        <v>0.18417748849563592</v>
      </c>
      <c r="I144" s="10">
        <f t="shared" si="41"/>
        <v>0.20162747989373159</v>
      </c>
      <c r="J144" s="10">
        <f t="shared" si="42"/>
        <v>0.17958024548396972</v>
      </c>
      <c r="K144" s="10">
        <f t="shared" si="42"/>
        <v>0.40584005976006504</v>
      </c>
      <c r="L144" s="10">
        <f t="shared" si="43"/>
        <v>0.11367748849563593</v>
      </c>
      <c r="M144" s="10">
        <f t="shared" si="44"/>
        <v>0.13112747989373158</v>
      </c>
      <c r="N144" s="10">
        <f t="shared" si="45"/>
        <v>0.10908024548396973</v>
      </c>
      <c r="O144" s="10">
        <f t="shared" si="46"/>
        <v>0.33534005976006503</v>
      </c>
      <c r="Y144" s="7">
        <f t="shared" si="36"/>
        <v>0.18417748849563592</v>
      </c>
      <c r="Z144" s="7">
        <f t="shared" si="37"/>
        <v>0.20162747989373159</v>
      </c>
      <c r="AA144" s="7">
        <f t="shared" si="38"/>
        <v>0.17958024548396972</v>
      </c>
      <c r="AB144" s="7">
        <f t="shared" si="39"/>
        <v>0.40584005976006504</v>
      </c>
      <c r="AC144" s="7">
        <f t="shared" si="47"/>
        <v>0.13327748849563592</v>
      </c>
      <c r="AD144" s="7">
        <f t="shared" si="48"/>
        <v>0.15072747989373159</v>
      </c>
      <c r="AE144" s="7">
        <f t="shared" si="49"/>
        <v>0.12868024548396972</v>
      </c>
      <c r="AF144" s="7">
        <f t="shared" si="50"/>
        <v>0.35494005976006504</v>
      </c>
    </row>
    <row r="145" spans="1:32" x14ac:dyDescent="0.3">
      <c r="A145" s="1">
        <v>39052</v>
      </c>
      <c r="B145">
        <f>AEP!F145</f>
        <v>21.994092999999999</v>
      </c>
      <c r="C145">
        <f>DFSVX!F145</f>
        <v>12.575499000000001</v>
      </c>
      <c r="D145">
        <f>DFLVX!F145</f>
        <v>13.427526</v>
      </c>
      <c r="E145">
        <f>FSAGX!F145</f>
        <v>23.671907000000001</v>
      </c>
      <c r="F145" s="5">
        <f>'FRED Graph'!B155</f>
        <v>4.9400000000000004</v>
      </c>
      <c r="G145" s="9">
        <f t="shared" si="35"/>
        <v>4.9400000000000006E-2</v>
      </c>
      <c r="H145" s="10">
        <f t="shared" si="40"/>
        <v>0.19601716114775833</v>
      </c>
      <c r="I145" s="10">
        <f t="shared" si="41"/>
        <v>0.2177103151609425</v>
      </c>
      <c r="J145" s="10">
        <f t="shared" si="42"/>
        <v>0.18231858852170091</v>
      </c>
      <c r="K145" s="10">
        <f t="shared" si="42"/>
        <v>0.30898585380640903</v>
      </c>
      <c r="L145" s="10">
        <f t="shared" si="43"/>
        <v>0.12551716114775835</v>
      </c>
      <c r="M145" s="10">
        <f t="shared" si="44"/>
        <v>0.14721031516094252</v>
      </c>
      <c r="N145" s="10">
        <f t="shared" si="45"/>
        <v>0.11181858852170092</v>
      </c>
      <c r="O145" s="10">
        <f t="shared" si="46"/>
        <v>0.23848585380640902</v>
      </c>
      <c r="Y145" s="7">
        <f t="shared" si="36"/>
        <v>0.19601716114775833</v>
      </c>
      <c r="Z145" s="7">
        <f t="shared" si="37"/>
        <v>0.2177103151609425</v>
      </c>
      <c r="AA145" s="7">
        <f t="shared" si="38"/>
        <v>0.18231858852170091</v>
      </c>
      <c r="AB145" s="7">
        <f t="shared" si="39"/>
        <v>0.30898585380640903</v>
      </c>
      <c r="AC145" s="7">
        <f t="shared" si="47"/>
        <v>0.14511716114775833</v>
      </c>
      <c r="AD145" s="7">
        <f t="shared" si="48"/>
        <v>0.1668103151609425</v>
      </c>
      <c r="AE145" s="7">
        <f t="shared" si="49"/>
        <v>0.13141858852170091</v>
      </c>
      <c r="AF145" s="7">
        <f t="shared" si="50"/>
        <v>0.25808585380640903</v>
      </c>
    </row>
    <row r="146" spans="1:32" x14ac:dyDescent="0.3">
      <c r="A146" s="1">
        <v>39083</v>
      </c>
      <c r="B146">
        <f>AEP!F146</f>
        <v>22.484794999999998</v>
      </c>
      <c r="C146">
        <f>DFSVX!F146</f>
        <v>13.919936999999999</v>
      </c>
      <c r="D146">
        <f>DFLVX!F146</f>
        <v>14.175297</v>
      </c>
      <c r="E146">
        <f>FSAGX!F146</f>
        <v>24.046633</v>
      </c>
      <c r="F146" s="5">
        <f>'FRED Graph'!B156</f>
        <v>5.0599999999999996</v>
      </c>
      <c r="G146" s="9">
        <f t="shared" si="35"/>
        <v>5.0599999999999999E-2</v>
      </c>
      <c r="H146" s="10">
        <f t="shared" si="40"/>
        <v>0.21516515074535406</v>
      </c>
      <c r="I146" s="10">
        <f t="shared" si="41"/>
        <v>0.14034657845325049</v>
      </c>
      <c r="J146" s="10">
        <f t="shared" si="42"/>
        <v>0.18054458317530611</v>
      </c>
      <c r="K146" s="10">
        <f t="shared" si="42"/>
        <v>6.6472398113787051E-2</v>
      </c>
      <c r="L146" s="10">
        <f t="shared" si="43"/>
        <v>0.14466515074535408</v>
      </c>
      <c r="M146" s="10">
        <f t="shared" si="44"/>
        <v>6.9846578453250499E-2</v>
      </c>
      <c r="N146" s="10">
        <f t="shared" si="45"/>
        <v>0.11004458317530612</v>
      </c>
      <c r="O146" s="10">
        <f t="shared" si="46"/>
        <v>-4.027601886212942E-3</v>
      </c>
      <c r="Y146" s="7">
        <f t="shared" si="36"/>
        <v>0.21516515074535406</v>
      </c>
      <c r="Z146" s="7">
        <f t="shared" si="37"/>
        <v>0.14034657845325049</v>
      </c>
      <c r="AA146" s="7">
        <f t="shared" si="38"/>
        <v>0.18054458317530611</v>
      </c>
      <c r="AB146" s="7">
        <f t="shared" si="39"/>
        <v>6.6472398113787051E-2</v>
      </c>
      <c r="AC146" s="7">
        <f t="shared" si="47"/>
        <v>0.16426515074535405</v>
      </c>
      <c r="AD146" s="7">
        <f t="shared" si="48"/>
        <v>8.9446578453250492E-2</v>
      </c>
      <c r="AE146" s="7">
        <f t="shared" si="49"/>
        <v>0.12964458317530611</v>
      </c>
      <c r="AF146" s="7">
        <f t="shared" si="50"/>
        <v>1.557239811378705E-2</v>
      </c>
    </row>
    <row r="147" spans="1:32" x14ac:dyDescent="0.3">
      <c r="A147" s="1">
        <v>39114</v>
      </c>
      <c r="B147">
        <f>AEP!F147</f>
        <v>23.192450999999998</v>
      </c>
      <c r="C147">
        <f>DFSVX!F147</f>
        <v>13.887670999999999</v>
      </c>
      <c r="D147">
        <f>DFLVX!F147</f>
        <v>13.962503</v>
      </c>
      <c r="E147">
        <f>FSAGX!F147</f>
        <v>24.373484000000001</v>
      </c>
      <c r="F147" s="5">
        <f>'FRED Graph'!B157</f>
        <v>5.05</v>
      </c>
      <c r="G147" s="9">
        <f t="shared" si="35"/>
        <v>5.0499999999999996E-2</v>
      </c>
      <c r="H147" s="10">
        <f t="shared" si="40"/>
        <v>0.28156896311637547</v>
      </c>
      <c r="I147" s="10">
        <f t="shared" si="41"/>
        <v>0.14165909817317052</v>
      </c>
      <c r="J147" s="10">
        <f t="shared" si="42"/>
        <v>0.16692063813098834</v>
      </c>
      <c r="K147" s="10">
        <f t="shared" si="42"/>
        <v>0.16043824491973765</v>
      </c>
      <c r="L147" s="10">
        <f t="shared" si="43"/>
        <v>0.21106896311637546</v>
      </c>
      <c r="M147" s="10">
        <f t="shared" si="44"/>
        <v>7.1159098173170524E-2</v>
      </c>
      <c r="N147" s="10">
        <f t="shared" si="45"/>
        <v>9.6420638130988348E-2</v>
      </c>
      <c r="O147" s="10">
        <f t="shared" si="46"/>
        <v>8.9938244919737662E-2</v>
      </c>
      <c r="Y147" s="7">
        <f t="shared" si="36"/>
        <v>0.28156896311637547</v>
      </c>
      <c r="Z147" s="7">
        <f t="shared" si="37"/>
        <v>0.14165909817317052</v>
      </c>
      <c r="AA147" s="7">
        <f t="shared" si="38"/>
        <v>0.16692063813098834</v>
      </c>
      <c r="AB147" s="7">
        <f t="shared" si="39"/>
        <v>0.16043824491973765</v>
      </c>
      <c r="AC147" s="7">
        <f t="shared" si="47"/>
        <v>0.23066896311637547</v>
      </c>
      <c r="AD147" s="7">
        <f t="shared" si="48"/>
        <v>9.0759098173170516E-2</v>
      </c>
      <c r="AE147" s="7">
        <f t="shared" si="49"/>
        <v>0.11602063813098834</v>
      </c>
      <c r="AF147" s="7">
        <f t="shared" si="50"/>
        <v>0.10953824491973765</v>
      </c>
    </row>
    <row r="148" spans="1:32" x14ac:dyDescent="0.3">
      <c r="A148" s="1">
        <v>39142</v>
      </c>
      <c r="B148">
        <f>AEP!F148</f>
        <v>25.400995000000002</v>
      </c>
      <c r="C148">
        <f>DFSVX!F148</f>
        <v>14.030599</v>
      </c>
      <c r="D148">
        <f>DFLVX!F148</f>
        <v>14.027979999999999</v>
      </c>
      <c r="E148">
        <f>FSAGX!F148</f>
        <v>24.266760000000001</v>
      </c>
      <c r="F148" s="5">
        <f>'FRED Graph'!B158</f>
        <v>4.92</v>
      </c>
      <c r="G148" s="9">
        <f t="shared" si="35"/>
        <v>4.9200000000000001E-2</v>
      </c>
      <c r="H148" s="10">
        <f t="shared" si="40"/>
        <v>0.49045608575443261</v>
      </c>
      <c r="I148" s="10">
        <f t="shared" si="41"/>
        <v>8.8679013089041095E-2</v>
      </c>
      <c r="J148" s="10">
        <f t="shared" si="42"/>
        <v>0.15409027601867242</v>
      </c>
      <c r="K148" s="10">
        <f t="shared" si="42"/>
        <v>6.4090105166485486E-2</v>
      </c>
      <c r="L148" s="10">
        <f t="shared" si="43"/>
        <v>0.41995608575443261</v>
      </c>
      <c r="M148" s="10">
        <f t="shared" si="44"/>
        <v>1.8179013089041102E-2</v>
      </c>
      <c r="N148" s="10">
        <f t="shared" si="45"/>
        <v>8.359027601867243E-2</v>
      </c>
      <c r="O148" s="10">
        <f t="shared" si="46"/>
        <v>-6.4098948335145067E-3</v>
      </c>
      <c r="Y148" s="7">
        <f t="shared" si="36"/>
        <v>0.49045608575443261</v>
      </c>
      <c r="Z148" s="7">
        <f t="shared" si="37"/>
        <v>8.8679013089041095E-2</v>
      </c>
      <c r="AA148" s="7">
        <f t="shared" si="38"/>
        <v>0.15409027601867242</v>
      </c>
      <c r="AB148" s="7">
        <f t="shared" si="39"/>
        <v>6.4090105166485486E-2</v>
      </c>
      <c r="AC148" s="7">
        <f t="shared" si="47"/>
        <v>0.43955608575443261</v>
      </c>
      <c r="AD148" s="7">
        <f t="shared" si="48"/>
        <v>3.7779013089041094E-2</v>
      </c>
      <c r="AE148" s="7">
        <f t="shared" si="49"/>
        <v>0.10319027601867242</v>
      </c>
      <c r="AF148" s="7">
        <f t="shared" si="50"/>
        <v>1.3190105166485486E-2</v>
      </c>
    </row>
    <row r="149" spans="1:32" x14ac:dyDescent="0.3">
      <c r="A149" s="1">
        <v>39173</v>
      </c>
      <c r="B149">
        <f>AEP!F149</f>
        <v>26.166948000000001</v>
      </c>
      <c r="C149">
        <f>DFSVX!F149</f>
        <v>14.292394</v>
      </c>
      <c r="D149">
        <f>DFLVX!F149</f>
        <v>14.650007</v>
      </c>
      <c r="E149">
        <f>FSAGX!F149</f>
        <v>23.119450000000001</v>
      </c>
      <c r="F149" s="5">
        <f>'FRED Graph'!B159</f>
        <v>4.93</v>
      </c>
      <c r="G149" s="9">
        <f t="shared" si="35"/>
        <v>4.9299999999999997E-2</v>
      </c>
      <c r="H149" s="10">
        <f t="shared" si="40"/>
        <v>0.56109733184090049</v>
      </c>
      <c r="I149" s="10">
        <f t="shared" si="41"/>
        <v>9.6636636337095183E-2</v>
      </c>
      <c r="J149" s="10">
        <f t="shared" si="42"/>
        <v>0.17024304218951819</v>
      </c>
      <c r="K149" s="10">
        <f t="shared" si="42"/>
        <v>2.3758402147889122E-2</v>
      </c>
      <c r="L149" s="10">
        <f t="shared" si="43"/>
        <v>0.49059733184090049</v>
      </c>
      <c r="M149" s="10">
        <f t="shared" si="44"/>
        <v>2.613663633709519E-2</v>
      </c>
      <c r="N149" s="10">
        <f t="shared" si="45"/>
        <v>9.9743042189518197E-2</v>
      </c>
      <c r="O149" s="10">
        <f t="shared" si="46"/>
        <v>-4.6741597852110871E-2</v>
      </c>
      <c r="Y149" s="7">
        <f t="shared" si="36"/>
        <v>0.56109733184090049</v>
      </c>
      <c r="Z149" s="7">
        <f t="shared" si="37"/>
        <v>9.6636636337095183E-2</v>
      </c>
      <c r="AA149" s="7">
        <f t="shared" si="38"/>
        <v>0.17024304218951819</v>
      </c>
      <c r="AB149" s="7">
        <f t="shared" si="39"/>
        <v>2.3758402147889122E-2</v>
      </c>
      <c r="AC149" s="7">
        <f t="shared" si="47"/>
        <v>0.51019733184090055</v>
      </c>
      <c r="AD149" s="7">
        <f t="shared" si="48"/>
        <v>4.5736636337095182E-2</v>
      </c>
      <c r="AE149" s="7">
        <f t="shared" si="49"/>
        <v>0.11934304218951819</v>
      </c>
      <c r="AF149" s="7">
        <f t="shared" si="50"/>
        <v>-2.7141597852110878E-2</v>
      </c>
    </row>
    <row r="150" spans="1:32" x14ac:dyDescent="0.3">
      <c r="A150" s="1">
        <v>39203</v>
      </c>
      <c r="B150">
        <f>AEP!F150</f>
        <v>24.817432</v>
      </c>
      <c r="C150">
        <f>DFSVX!F150</f>
        <v>14.813715999999999</v>
      </c>
      <c r="D150">
        <f>DFLVX!F150</f>
        <v>15.251313</v>
      </c>
      <c r="E150">
        <f>FSAGX!F150</f>
        <v>24.020053999999998</v>
      </c>
      <c r="F150" s="5">
        <f>'FRED Graph'!B160</f>
        <v>4.91</v>
      </c>
      <c r="G150" s="9">
        <f t="shared" si="35"/>
        <v>4.9100000000000005E-2</v>
      </c>
      <c r="H150" s="10">
        <f t="shared" si="40"/>
        <v>0.445590739573064</v>
      </c>
      <c r="I150" s="10">
        <f t="shared" si="41"/>
        <v>0.18879376287804353</v>
      </c>
      <c r="J150" s="10">
        <f t="shared" si="42"/>
        <v>0.24131110234807351</v>
      </c>
      <c r="K150" s="10">
        <f t="shared" si="42"/>
        <v>5.3079423974741552E-2</v>
      </c>
      <c r="L150" s="10">
        <f t="shared" si="43"/>
        <v>0.37509073957306399</v>
      </c>
      <c r="M150" s="10">
        <f t="shared" si="44"/>
        <v>0.11829376287804354</v>
      </c>
      <c r="N150" s="10">
        <f t="shared" si="45"/>
        <v>0.17081110234807351</v>
      </c>
      <c r="O150" s="10">
        <f t="shared" si="46"/>
        <v>-1.7420576025258441E-2</v>
      </c>
      <c r="Y150" s="7">
        <f t="shared" si="36"/>
        <v>0.445590739573064</v>
      </c>
      <c r="Z150" s="7">
        <f t="shared" si="37"/>
        <v>0.18879376287804353</v>
      </c>
      <c r="AA150" s="7">
        <f t="shared" si="38"/>
        <v>0.24131110234807351</v>
      </c>
      <c r="AB150" s="7">
        <f t="shared" si="39"/>
        <v>5.3079423974741552E-2</v>
      </c>
      <c r="AC150" s="7">
        <f t="shared" si="47"/>
        <v>0.394690739573064</v>
      </c>
      <c r="AD150" s="7">
        <f t="shared" si="48"/>
        <v>0.13789376287804353</v>
      </c>
      <c r="AE150" s="7">
        <f t="shared" si="49"/>
        <v>0.19041110234807351</v>
      </c>
      <c r="AF150" s="7">
        <f t="shared" si="50"/>
        <v>2.1794239747415511E-3</v>
      </c>
    </row>
    <row r="151" spans="1:32" x14ac:dyDescent="0.3">
      <c r="A151" s="1">
        <v>39234</v>
      </c>
      <c r="B151">
        <f>AEP!F151</f>
        <v>23.650473000000002</v>
      </c>
      <c r="C151">
        <f>DFSVX!F151</f>
        <v>14.546136000000001</v>
      </c>
      <c r="D151">
        <f>DFLVX!F151</f>
        <v>14.961596</v>
      </c>
      <c r="E151">
        <f>FSAGX!F151</f>
        <v>23.761168999999999</v>
      </c>
      <c r="F151" s="5">
        <f>'FRED Graph'!B161</f>
        <v>4.96</v>
      </c>
      <c r="G151" s="9">
        <f t="shared" si="35"/>
        <v>4.9599999999999998E-2</v>
      </c>
      <c r="H151" s="10">
        <f t="shared" si="40"/>
        <v>0.36338105513552627</v>
      </c>
      <c r="I151" s="10">
        <f t="shared" si="41"/>
        <v>0.16930786078469426</v>
      </c>
      <c r="J151" s="10">
        <f t="shared" si="42"/>
        <v>0.21200129158337072</v>
      </c>
      <c r="K151" s="10">
        <f t="shared" si="42"/>
        <v>6.3501380962005957E-2</v>
      </c>
      <c r="L151" s="10">
        <f t="shared" si="43"/>
        <v>0.29288105513552626</v>
      </c>
      <c r="M151" s="10">
        <f t="shared" si="44"/>
        <v>9.8807860784694265E-2</v>
      </c>
      <c r="N151" s="10">
        <f t="shared" si="45"/>
        <v>0.14150129158337071</v>
      </c>
      <c r="O151" s="10">
        <f t="shared" si="46"/>
        <v>-6.9986190379940361E-3</v>
      </c>
      <c r="Y151" s="7">
        <f t="shared" si="36"/>
        <v>0.36338105513552627</v>
      </c>
      <c r="Z151" s="7">
        <f t="shared" si="37"/>
        <v>0.16930786078469426</v>
      </c>
      <c r="AA151" s="7">
        <f t="shared" si="38"/>
        <v>0.21200129158337072</v>
      </c>
      <c r="AB151" s="7">
        <f t="shared" si="39"/>
        <v>6.3501380962005957E-2</v>
      </c>
      <c r="AC151" s="7">
        <f t="shared" si="47"/>
        <v>0.31248105513552626</v>
      </c>
      <c r="AD151" s="7">
        <f t="shared" si="48"/>
        <v>0.11840786078469426</v>
      </c>
      <c r="AE151" s="7">
        <f t="shared" si="49"/>
        <v>0.16110129158337072</v>
      </c>
      <c r="AF151" s="7">
        <f t="shared" si="50"/>
        <v>1.2601380962005956E-2</v>
      </c>
    </row>
    <row r="152" spans="1:32" x14ac:dyDescent="0.3">
      <c r="A152" s="1">
        <v>39264</v>
      </c>
      <c r="B152">
        <f>AEP!F152</f>
        <v>22.836563000000002</v>
      </c>
      <c r="C152">
        <f>DFSVX!F152</f>
        <v>13.470269</v>
      </c>
      <c r="D152">
        <f>DFLVX!F152</f>
        <v>14.072124000000001</v>
      </c>
      <c r="E152">
        <f>FSAGX!F152</f>
        <v>25.090561000000001</v>
      </c>
      <c r="F152" s="5">
        <f>'FRED Graph'!B162</f>
        <v>4.96</v>
      </c>
      <c r="G152" s="9">
        <f t="shared" si="35"/>
        <v>4.9599999999999998E-2</v>
      </c>
      <c r="H152" s="10">
        <f t="shared" si="40"/>
        <v>0.24830623789530568</v>
      </c>
      <c r="I152" s="10">
        <f t="shared" si="41"/>
        <v>0.12250062144626694</v>
      </c>
      <c r="J152" s="10">
        <f t="shared" si="42"/>
        <v>0.15224000705486967</v>
      </c>
      <c r="K152" s="10">
        <f t="shared" si="42"/>
        <v>0.12267668954253856</v>
      </c>
      <c r="L152" s="10">
        <f t="shared" si="43"/>
        <v>0.1778062378953057</v>
      </c>
      <c r="M152" s="10">
        <f t="shared" si="44"/>
        <v>5.2000621446266951E-2</v>
      </c>
      <c r="N152" s="10">
        <f t="shared" si="45"/>
        <v>8.1740007054869682E-2</v>
      </c>
      <c r="O152" s="10">
        <f t="shared" si="46"/>
        <v>5.2176689542538568E-2</v>
      </c>
      <c r="Y152" s="7">
        <f t="shared" si="36"/>
        <v>0.24830623789530568</v>
      </c>
      <c r="Z152" s="7">
        <f t="shared" si="37"/>
        <v>0.12250062144626694</v>
      </c>
      <c r="AA152" s="7">
        <f t="shared" si="38"/>
        <v>0.15224000705486967</v>
      </c>
      <c r="AB152" s="7">
        <f t="shared" si="39"/>
        <v>0.12267668954253856</v>
      </c>
      <c r="AC152" s="7">
        <f t="shared" si="47"/>
        <v>0.19740623789530568</v>
      </c>
      <c r="AD152" s="7">
        <f t="shared" si="48"/>
        <v>7.1600621446266943E-2</v>
      </c>
      <c r="AE152" s="7">
        <f t="shared" si="49"/>
        <v>0.10134000705486967</v>
      </c>
      <c r="AF152" s="7">
        <f t="shared" si="50"/>
        <v>7.177668954253856E-2</v>
      </c>
    </row>
    <row r="153" spans="1:32" x14ac:dyDescent="0.3">
      <c r="A153" s="1">
        <v>39295</v>
      </c>
      <c r="B153">
        <f>AEP!F153</f>
        <v>23.356407000000001</v>
      </c>
      <c r="C153">
        <f>DFSVX!F153</f>
        <v>13.368497</v>
      </c>
      <c r="D153">
        <f>DFLVX!F153</f>
        <v>13.803504999999999</v>
      </c>
      <c r="E153">
        <f>FSAGX!F153</f>
        <v>23.831142</v>
      </c>
      <c r="F153" s="5">
        <f>'FRED Graph'!B163</f>
        <v>4.47</v>
      </c>
      <c r="G153" s="9">
        <f t="shared" si="35"/>
        <v>4.4699999999999997E-2</v>
      </c>
      <c r="H153" s="10">
        <f t="shared" si="40"/>
        <v>0.26412225812811968</v>
      </c>
      <c r="I153" s="10">
        <f t="shared" si="41"/>
        <v>9.2760095925205871E-2</v>
      </c>
      <c r="J153" s="10">
        <f t="shared" si="42"/>
        <v>0.1123809359565856</v>
      </c>
      <c r="K153" s="10">
        <f t="shared" si="42"/>
        <v>2.7271921969008801E-2</v>
      </c>
      <c r="L153" s="10">
        <f t="shared" si="43"/>
        <v>0.19362225812811967</v>
      </c>
      <c r="M153" s="10">
        <f t="shared" si="44"/>
        <v>2.2260095925205878E-2</v>
      </c>
      <c r="N153" s="10">
        <f t="shared" si="45"/>
        <v>4.188093595658561E-2</v>
      </c>
      <c r="O153" s="10">
        <f t="shared" si="46"/>
        <v>-4.3228078030991192E-2</v>
      </c>
      <c r="Y153" s="7">
        <f t="shared" si="36"/>
        <v>0.26412225812811968</v>
      </c>
      <c r="Z153" s="7">
        <f t="shared" si="37"/>
        <v>9.2760095925205871E-2</v>
      </c>
      <c r="AA153" s="7">
        <f t="shared" si="38"/>
        <v>0.1123809359565856</v>
      </c>
      <c r="AB153" s="7">
        <f t="shared" si="39"/>
        <v>2.7271921969008801E-2</v>
      </c>
      <c r="AC153" s="7">
        <f t="shared" si="47"/>
        <v>0.21322225812811968</v>
      </c>
      <c r="AD153" s="7">
        <f t="shared" si="48"/>
        <v>4.186009592520587E-2</v>
      </c>
      <c r="AE153" s="7">
        <f t="shared" si="49"/>
        <v>6.1480935956585603E-2</v>
      </c>
      <c r="AF153" s="7">
        <f t="shared" si="50"/>
        <v>-2.3628078030991199E-2</v>
      </c>
    </row>
    <row r="154" spans="1:32" x14ac:dyDescent="0.3">
      <c r="A154" s="1">
        <v>39326</v>
      </c>
      <c r="B154">
        <f>AEP!F154</f>
        <v>24.395864</v>
      </c>
      <c r="C154">
        <f>DFSVX!F154</f>
        <v>13.275981</v>
      </c>
      <c r="D154">
        <f>DFLVX!F154</f>
        <v>14.115982000000001</v>
      </c>
      <c r="E154">
        <f>FSAGX!F154</f>
        <v>29.687474999999999</v>
      </c>
      <c r="F154" s="5">
        <f>'FRED Graph'!B164</f>
        <v>4.1399999999999997</v>
      </c>
      <c r="G154" s="9">
        <f t="shared" si="35"/>
        <v>4.1399999999999999E-2</v>
      </c>
      <c r="H154" s="10">
        <f t="shared" si="40"/>
        <v>0.3109719549529556</v>
      </c>
      <c r="I154" s="10">
        <f t="shared" si="41"/>
        <v>7.5494891594480085E-2</v>
      </c>
      <c r="J154" s="10">
        <f t="shared" si="42"/>
        <v>0.11052306914792892</v>
      </c>
      <c r="K154" s="10">
        <f t="shared" si="42"/>
        <v>0.37011278339494369</v>
      </c>
      <c r="L154" s="10">
        <f t="shared" si="43"/>
        <v>0.24047195495295559</v>
      </c>
      <c r="M154" s="10">
        <f t="shared" si="44"/>
        <v>4.9948915944800915E-3</v>
      </c>
      <c r="N154" s="10">
        <f t="shared" si="45"/>
        <v>4.0023069147928927E-2</v>
      </c>
      <c r="O154" s="10">
        <f t="shared" si="46"/>
        <v>0.29961278339494368</v>
      </c>
      <c r="Y154" s="7">
        <f t="shared" si="36"/>
        <v>0.3109719549529556</v>
      </c>
      <c r="Z154" s="7">
        <f t="shared" si="37"/>
        <v>7.5494891594480085E-2</v>
      </c>
      <c r="AA154" s="7">
        <f t="shared" si="38"/>
        <v>0.11052306914792892</v>
      </c>
      <c r="AB154" s="7">
        <f t="shared" si="39"/>
        <v>0.37011278339494369</v>
      </c>
      <c r="AC154" s="7">
        <f t="shared" si="47"/>
        <v>0.2600719549529556</v>
      </c>
      <c r="AD154" s="7">
        <f t="shared" si="48"/>
        <v>2.4594891594480084E-2</v>
      </c>
      <c r="AE154" s="7">
        <f t="shared" si="49"/>
        <v>5.962306914792892E-2</v>
      </c>
      <c r="AF154" s="7">
        <f t="shared" si="50"/>
        <v>0.31921278339494369</v>
      </c>
    </row>
    <row r="155" spans="1:32" x14ac:dyDescent="0.3">
      <c r="A155" s="1">
        <v>39356</v>
      </c>
      <c r="B155">
        <f>AEP!F155</f>
        <v>25.523537000000001</v>
      </c>
      <c r="C155">
        <f>DFSVX!F155</f>
        <v>13.479792</v>
      </c>
      <c r="D155">
        <f>DFLVX!F155</f>
        <v>14.237002</v>
      </c>
      <c r="E155">
        <f>FSAGX!F155</f>
        <v>33.290824999999998</v>
      </c>
      <c r="F155" s="5">
        <f>'FRED Graph'!B165</f>
        <v>4.0999999999999996</v>
      </c>
      <c r="G155" s="9">
        <f t="shared" si="35"/>
        <v>4.0999999999999995E-2</v>
      </c>
      <c r="H155" s="10">
        <f t="shared" si="40"/>
        <v>0.20405509373746503</v>
      </c>
      <c r="I155" s="10">
        <f t="shared" si="41"/>
        <v>3.2752630859170656E-2</v>
      </c>
      <c r="J155" s="10">
        <f t="shared" si="42"/>
        <v>7.3894361154009755E-2</v>
      </c>
      <c r="K155" s="10">
        <f t="shared" si="42"/>
        <v>0.48100174094580495</v>
      </c>
      <c r="L155" s="10">
        <f t="shared" si="43"/>
        <v>0.13355509373746505</v>
      </c>
      <c r="M155" s="10">
        <f t="shared" si="44"/>
        <v>-3.7747369140829337E-2</v>
      </c>
      <c r="N155" s="10">
        <f t="shared" si="45"/>
        <v>3.3943611540097618E-3</v>
      </c>
      <c r="O155" s="10">
        <f t="shared" si="46"/>
        <v>0.41050174094580494</v>
      </c>
      <c r="Y155" s="7">
        <f t="shared" si="36"/>
        <v>0.20405509373746503</v>
      </c>
      <c r="Z155" s="7">
        <f t="shared" si="37"/>
        <v>3.2752630859170656E-2</v>
      </c>
      <c r="AA155" s="7">
        <f t="shared" si="38"/>
        <v>7.3894361154009755E-2</v>
      </c>
      <c r="AB155" s="7">
        <f t="shared" si="39"/>
        <v>0.48100174094580495</v>
      </c>
      <c r="AC155" s="7">
        <f t="shared" si="47"/>
        <v>0.15315509373746503</v>
      </c>
      <c r="AD155" s="7">
        <f t="shared" si="48"/>
        <v>-1.8147369140829345E-2</v>
      </c>
      <c r="AE155" s="7">
        <f t="shared" si="49"/>
        <v>2.2994361154009754E-2</v>
      </c>
      <c r="AF155" s="7">
        <f t="shared" si="50"/>
        <v>0.43010174094580494</v>
      </c>
    </row>
    <row r="156" spans="1:32" x14ac:dyDescent="0.3">
      <c r="A156" s="1">
        <v>39387</v>
      </c>
      <c r="B156">
        <f>AEP!F156</f>
        <v>25.237653999999999</v>
      </c>
      <c r="C156">
        <f>DFSVX!F156</f>
        <v>12.304611</v>
      </c>
      <c r="D156">
        <f>DFLVX!F156</f>
        <v>13.439636999999999</v>
      </c>
      <c r="E156">
        <f>FSAGX!F156</f>
        <v>30.387152</v>
      </c>
      <c r="F156" s="5">
        <f>'FRED Graph'!B166</f>
        <v>3.5</v>
      </c>
      <c r="G156" s="9">
        <f t="shared" si="35"/>
        <v>3.5000000000000003E-2</v>
      </c>
      <c r="H156" s="10">
        <f t="shared" si="40"/>
        <v>0.18827410965795049</v>
      </c>
      <c r="I156" s="10">
        <f t="shared" si="41"/>
        <v>-8.5036925002258679E-2</v>
      </c>
      <c r="J156" s="10">
        <f t="shared" si="42"/>
        <v>-5.0087760004003945E-3</v>
      </c>
      <c r="K156" s="10">
        <f t="shared" si="42"/>
        <v>0.21164487495163331</v>
      </c>
      <c r="L156" s="10">
        <f t="shared" si="43"/>
        <v>0.1177741096579505</v>
      </c>
      <c r="M156" s="10">
        <f t="shared" si="44"/>
        <v>-0.15553692500225869</v>
      </c>
      <c r="N156" s="10">
        <f t="shared" si="45"/>
        <v>-7.5508776000400388E-2</v>
      </c>
      <c r="O156" s="10">
        <f t="shared" si="46"/>
        <v>0.1411448749516333</v>
      </c>
      <c r="Y156" s="7">
        <f t="shared" si="36"/>
        <v>0.18827410965795049</v>
      </c>
      <c r="Z156" s="7">
        <f t="shared" si="37"/>
        <v>-8.5036925002258679E-2</v>
      </c>
      <c r="AA156" s="7">
        <f t="shared" si="38"/>
        <v>-5.0087760004003945E-3</v>
      </c>
      <c r="AB156" s="7">
        <f t="shared" si="39"/>
        <v>0.21164487495163331</v>
      </c>
      <c r="AC156" s="7">
        <f t="shared" si="47"/>
        <v>0.13737410965795049</v>
      </c>
      <c r="AD156" s="7">
        <f t="shared" si="48"/>
        <v>-0.13593692500225868</v>
      </c>
      <c r="AE156" s="7">
        <f t="shared" si="49"/>
        <v>-5.5908776000400395E-2</v>
      </c>
      <c r="AF156" s="7">
        <f t="shared" si="50"/>
        <v>0.16074487495163331</v>
      </c>
    </row>
    <row r="157" spans="1:32" x14ac:dyDescent="0.3">
      <c r="A157" s="1">
        <v>39417</v>
      </c>
      <c r="B157">
        <f>AEP!F157</f>
        <v>24.863298</v>
      </c>
      <c r="C157">
        <f>DFSVX!F157</f>
        <v>11.073684</v>
      </c>
      <c r="D157">
        <f>DFLVX!F157</f>
        <v>12.757761</v>
      </c>
      <c r="E157">
        <f>FSAGX!F157</f>
        <v>27.903283999999999</v>
      </c>
      <c r="F157" s="5">
        <f>'FRED Graph'!B167</f>
        <v>3.26</v>
      </c>
      <c r="G157" s="9">
        <f t="shared" si="35"/>
        <v>3.2599999999999997E-2</v>
      </c>
      <c r="H157" s="10">
        <f t="shared" si="40"/>
        <v>0.13045343583843175</v>
      </c>
      <c r="I157" s="10">
        <f t="shared" si="41"/>
        <v>-0.11942388926276408</v>
      </c>
      <c r="J157" s="10">
        <f t="shared" si="42"/>
        <v>-4.9880000232358508E-2</v>
      </c>
      <c r="K157" s="10">
        <f t="shared" si="42"/>
        <v>0.17875099796564756</v>
      </c>
      <c r="L157" s="10">
        <f t="shared" si="43"/>
        <v>5.9953435838431754E-2</v>
      </c>
      <c r="M157" s="10">
        <f t="shared" si="44"/>
        <v>-0.18992388926276407</v>
      </c>
      <c r="N157" s="10">
        <f t="shared" si="45"/>
        <v>-0.12038000023235851</v>
      </c>
      <c r="O157" s="10">
        <f t="shared" si="46"/>
        <v>0.10825099796564756</v>
      </c>
      <c r="Y157" s="7">
        <f t="shared" si="36"/>
        <v>0.13045343583843175</v>
      </c>
      <c r="Z157" s="7">
        <f t="shared" si="37"/>
        <v>-0.11942388926276408</v>
      </c>
      <c r="AA157" s="7">
        <f t="shared" si="38"/>
        <v>-4.9880000232358508E-2</v>
      </c>
      <c r="AB157" s="7">
        <f t="shared" si="39"/>
        <v>0.17875099796564756</v>
      </c>
      <c r="AC157" s="7">
        <f t="shared" si="47"/>
        <v>7.9553435838431746E-2</v>
      </c>
      <c r="AD157" s="7">
        <f t="shared" si="48"/>
        <v>-0.17032388926276409</v>
      </c>
      <c r="AE157" s="7">
        <f t="shared" si="49"/>
        <v>-0.1007800002323585</v>
      </c>
      <c r="AF157" s="7">
        <f t="shared" si="50"/>
        <v>0.12785099796564756</v>
      </c>
    </row>
    <row r="158" spans="1:32" x14ac:dyDescent="0.3">
      <c r="A158" s="1">
        <v>39448</v>
      </c>
      <c r="B158">
        <f>AEP!F158</f>
        <v>22.818045000000001</v>
      </c>
      <c r="C158">
        <f>DFSVX!F158</f>
        <v>11.674322</v>
      </c>
      <c r="D158">
        <f>DFLVX!F158</f>
        <v>12.88083</v>
      </c>
      <c r="E158">
        <f>FSAGX!F158</f>
        <v>32.946911</v>
      </c>
      <c r="F158" s="5">
        <f>'FRED Graph'!B168</f>
        <v>2.71</v>
      </c>
      <c r="G158" s="9">
        <f t="shared" si="35"/>
        <v>2.7099999999999999E-2</v>
      </c>
      <c r="H158" s="10">
        <f t="shared" si="40"/>
        <v>1.4821126899311431E-2</v>
      </c>
      <c r="I158" s="10">
        <f t="shared" si="41"/>
        <v>-0.16132364679524047</v>
      </c>
      <c r="J158" s="10">
        <f t="shared" si="42"/>
        <v>-9.1318509940215065E-2</v>
      </c>
      <c r="K158" s="10">
        <f t="shared" si="42"/>
        <v>0.37012574691849792</v>
      </c>
      <c r="L158" s="10">
        <f t="shared" si="43"/>
        <v>-5.5678873100688558E-2</v>
      </c>
      <c r="M158" s="10">
        <f t="shared" si="44"/>
        <v>-0.23182364679524048</v>
      </c>
      <c r="N158" s="10">
        <f t="shared" si="45"/>
        <v>-0.16181850994021507</v>
      </c>
      <c r="O158" s="10">
        <f t="shared" si="46"/>
        <v>0.29962574691849791</v>
      </c>
      <c r="Y158" s="7">
        <f t="shared" si="36"/>
        <v>1.4821126899311431E-2</v>
      </c>
      <c r="Z158" s="7">
        <f t="shared" si="37"/>
        <v>-0.16132364679524047</v>
      </c>
      <c r="AA158" s="7">
        <f t="shared" si="38"/>
        <v>-9.1318509940215065E-2</v>
      </c>
      <c r="AB158" s="7">
        <f t="shared" si="39"/>
        <v>0.37012574691849792</v>
      </c>
      <c r="AC158" s="7">
        <f t="shared" si="47"/>
        <v>-3.6078873100688566E-2</v>
      </c>
      <c r="AD158" s="7">
        <f t="shared" si="48"/>
        <v>-0.21222364679524047</v>
      </c>
      <c r="AE158" s="7">
        <f t="shared" si="49"/>
        <v>-0.14221850994021507</v>
      </c>
      <c r="AF158" s="7">
        <f t="shared" si="50"/>
        <v>0.31922574691849792</v>
      </c>
    </row>
    <row r="159" spans="1:32" x14ac:dyDescent="0.3">
      <c r="A159" s="1">
        <v>39479</v>
      </c>
      <c r="B159">
        <f>AEP!F159</f>
        <v>21.851488</v>
      </c>
      <c r="C159">
        <f>DFSVX!F159</f>
        <v>11.342955999999999</v>
      </c>
      <c r="D159">
        <f>DFLVX!F159</f>
        <v>12.482455</v>
      </c>
      <c r="E159">
        <f>FSAGX!F159</f>
        <v>35.307327000000001</v>
      </c>
      <c r="F159" s="5">
        <f>'FRED Graph'!B169</f>
        <v>2.0499999999999998</v>
      </c>
      <c r="G159" s="9">
        <f t="shared" si="35"/>
        <v>2.0499999999999997E-2</v>
      </c>
      <c r="H159" s="10">
        <f t="shared" si="40"/>
        <v>-5.7818942896548479E-2</v>
      </c>
      <c r="I159" s="10">
        <f t="shared" si="41"/>
        <v>-0.18323554755869434</v>
      </c>
      <c r="J159" s="10">
        <f t="shared" si="42"/>
        <v>-0.1060016244938318</v>
      </c>
      <c r="K159" s="10">
        <f t="shared" si="42"/>
        <v>0.44859581830812528</v>
      </c>
      <c r="L159" s="10">
        <f t="shared" si="43"/>
        <v>-0.12831894289654847</v>
      </c>
      <c r="M159" s="10">
        <f t="shared" si="44"/>
        <v>-0.25373554755869432</v>
      </c>
      <c r="N159" s="10">
        <f t="shared" si="45"/>
        <v>-0.17650162449383178</v>
      </c>
      <c r="O159" s="10">
        <f t="shared" si="46"/>
        <v>0.37809581830812528</v>
      </c>
      <c r="Y159" s="7">
        <f t="shared" si="36"/>
        <v>-5.7818942896548479E-2</v>
      </c>
      <c r="Z159" s="7">
        <f t="shared" si="37"/>
        <v>-0.18323554755869434</v>
      </c>
      <c r="AA159" s="7">
        <f t="shared" si="38"/>
        <v>-0.1060016244938318</v>
      </c>
      <c r="AB159" s="7">
        <f t="shared" si="39"/>
        <v>0.44859581830812528</v>
      </c>
      <c r="AC159" s="7">
        <f t="shared" si="47"/>
        <v>-0.10871894289654849</v>
      </c>
      <c r="AD159" s="7">
        <f t="shared" si="48"/>
        <v>-0.23413554755869434</v>
      </c>
      <c r="AE159" s="7">
        <f t="shared" si="49"/>
        <v>-0.1569016244938318</v>
      </c>
      <c r="AF159" s="7">
        <f t="shared" si="50"/>
        <v>0.39769581830812528</v>
      </c>
    </row>
    <row r="160" spans="1:32" x14ac:dyDescent="0.3">
      <c r="A160" s="1">
        <v>39508</v>
      </c>
      <c r="B160">
        <f>AEP!F160</f>
        <v>22.442612</v>
      </c>
      <c r="C160">
        <f>DFSVX!F160</f>
        <v>11.393938</v>
      </c>
      <c r="D160">
        <f>DFLVX!F160</f>
        <v>12.332338</v>
      </c>
      <c r="E160">
        <f>FSAGX!F160</f>
        <v>31.850462</v>
      </c>
      <c r="F160" s="5">
        <f>'FRED Graph'!B170</f>
        <v>1.54</v>
      </c>
      <c r="G160" s="9">
        <f t="shared" si="35"/>
        <v>1.54E-2</v>
      </c>
      <c r="H160" s="10">
        <f t="shared" si="40"/>
        <v>-0.11646720925696025</v>
      </c>
      <c r="I160" s="10">
        <f t="shared" si="41"/>
        <v>-0.18792219776219105</v>
      </c>
      <c r="J160" s="10">
        <f t="shared" si="42"/>
        <v>-0.12087570697990727</v>
      </c>
      <c r="K160" s="10">
        <f t="shared" si="42"/>
        <v>0.31251399033080635</v>
      </c>
      <c r="L160" s="10">
        <f t="shared" si="43"/>
        <v>-0.18696720925696025</v>
      </c>
      <c r="M160" s="10">
        <f t="shared" si="44"/>
        <v>-0.25842219776219105</v>
      </c>
      <c r="N160" s="10">
        <f t="shared" si="45"/>
        <v>-0.19137570697990725</v>
      </c>
      <c r="O160" s="10">
        <f t="shared" si="46"/>
        <v>0.24201399033080634</v>
      </c>
      <c r="Y160" s="7">
        <f t="shared" si="36"/>
        <v>-0.11646720925696025</v>
      </c>
      <c r="Z160" s="7">
        <f t="shared" si="37"/>
        <v>-0.18792219776219105</v>
      </c>
      <c r="AA160" s="7">
        <f t="shared" si="38"/>
        <v>-0.12087570697990727</v>
      </c>
      <c r="AB160" s="7">
        <f t="shared" si="39"/>
        <v>0.31251399033080635</v>
      </c>
      <c r="AC160" s="7">
        <f t="shared" si="47"/>
        <v>-0.16736720925696025</v>
      </c>
      <c r="AD160" s="7">
        <f t="shared" si="48"/>
        <v>-0.23882219776219105</v>
      </c>
      <c r="AE160" s="7">
        <f t="shared" si="49"/>
        <v>-0.17177570697990727</v>
      </c>
      <c r="AF160" s="7">
        <f t="shared" si="50"/>
        <v>0.26161399033080635</v>
      </c>
    </row>
    <row r="161" spans="1:32" x14ac:dyDescent="0.3">
      <c r="A161" s="1">
        <v>39539</v>
      </c>
      <c r="B161">
        <f>AEP!F161</f>
        <v>24.059898</v>
      </c>
      <c r="C161">
        <f>DFSVX!F161</f>
        <v>11.627362</v>
      </c>
      <c r="D161">
        <f>DFLVX!F161</f>
        <v>13.141041</v>
      </c>
      <c r="E161">
        <f>FSAGX!F161</f>
        <v>29.490034000000001</v>
      </c>
      <c r="F161" s="5">
        <f>'FRED Graph'!B171</f>
        <v>1.74</v>
      </c>
      <c r="G161" s="9">
        <f t="shared" si="35"/>
        <v>1.7399999999999999E-2</v>
      </c>
      <c r="H161" s="10">
        <f t="shared" si="40"/>
        <v>-8.0523338067549979E-2</v>
      </c>
      <c r="I161" s="10">
        <f t="shared" si="41"/>
        <v>-0.18646505267067226</v>
      </c>
      <c r="J161" s="10">
        <f t="shared" si="42"/>
        <v>-0.10300104293465531</v>
      </c>
      <c r="K161" s="10">
        <f t="shared" si="42"/>
        <v>0.27555084571648553</v>
      </c>
      <c r="L161" s="10">
        <f t="shared" si="43"/>
        <v>-0.15102333806754997</v>
      </c>
      <c r="M161" s="10">
        <f t="shared" si="44"/>
        <v>-0.25696505267067227</v>
      </c>
      <c r="N161" s="10">
        <f t="shared" si="45"/>
        <v>-0.17350104293465529</v>
      </c>
      <c r="O161" s="10">
        <f t="shared" si="46"/>
        <v>0.20505084571648552</v>
      </c>
      <c r="Y161" s="7">
        <f t="shared" si="36"/>
        <v>-8.0523338067549979E-2</v>
      </c>
      <c r="Z161" s="7">
        <f t="shared" si="37"/>
        <v>-0.18646505267067226</v>
      </c>
      <c r="AA161" s="7">
        <f t="shared" si="38"/>
        <v>-0.10300104293465531</v>
      </c>
      <c r="AB161" s="7">
        <f t="shared" si="39"/>
        <v>0.27555084571648553</v>
      </c>
      <c r="AC161" s="7">
        <f t="shared" si="47"/>
        <v>-0.13142333806754997</v>
      </c>
      <c r="AD161" s="7">
        <f t="shared" si="48"/>
        <v>-0.23736505267067226</v>
      </c>
      <c r="AE161" s="7">
        <f t="shared" si="49"/>
        <v>-0.15390104293465531</v>
      </c>
      <c r="AF161" s="7">
        <f t="shared" si="50"/>
        <v>0.22465084571648553</v>
      </c>
    </row>
    <row r="162" spans="1:32" x14ac:dyDescent="0.3">
      <c r="A162" s="1">
        <v>39569</v>
      </c>
      <c r="B162">
        <f>AEP!F162</f>
        <v>22.819974999999999</v>
      </c>
      <c r="C162">
        <f>DFSVX!F162</f>
        <v>12.108416</v>
      </c>
      <c r="D162">
        <f>DFLVX!F162</f>
        <v>13.45365</v>
      </c>
      <c r="E162">
        <f>FSAGX!F162</f>
        <v>31.754805000000001</v>
      </c>
      <c r="F162" s="5">
        <f>'FRED Graph'!B172</f>
        <v>2.06</v>
      </c>
      <c r="G162" s="9">
        <f t="shared" si="35"/>
        <v>2.06E-2</v>
      </c>
      <c r="H162" s="10">
        <f t="shared" si="40"/>
        <v>-8.048604706562712E-2</v>
      </c>
      <c r="I162" s="10">
        <f t="shared" si="41"/>
        <v>-0.18262129502145172</v>
      </c>
      <c r="J162" s="10">
        <f t="shared" si="42"/>
        <v>-0.11786939262213031</v>
      </c>
      <c r="K162" s="10">
        <f t="shared" si="42"/>
        <v>0.32201222361948079</v>
      </c>
      <c r="L162" s="10">
        <f t="shared" si="43"/>
        <v>-0.15098604706562713</v>
      </c>
      <c r="M162" s="10">
        <f t="shared" si="44"/>
        <v>-0.2531212950214517</v>
      </c>
      <c r="N162" s="10">
        <f t="shared" si="45"/>
        <v>-0.18836939262213032</v>
      </c>
      <c r="O162" s="10">
        <f t="shared" si="46"/>
        <v>0.25151222361948078</v>
      </c>
      <c r="Y162" s="7">
        <f t="shared" si="36"/>
        <v>-8.048604706562712E-2</v>
      </c>
      <c r="Z162" s="7">
        <f t="shared" si="37"/>
        <v>-0.18262129502145172</v>
      </c>
      <c r="AA162" s="7">
        <f t="shared" si="38"/>
        <v>-0.11786939262213031</v>
      </c>
      <c r="AB162" s="7">
        <f t="shared" si="39"/>
        <v>0.32201222361948079</v>
      </c>
      <c r="AC162" s="7">
        <f t="shared" si="47"/>
        <v>-0.13138604706562712</v>
      </c>
      <c r="AD162" s="7">
        <f t="shared" si="48"/>
        <v>-0.23352129502145172</v>
      </c>
      <c r="AE162" s="7">
        <f t="shared" si="49"/>
        <v>-0.16876939262213031</v>
      </c>
      <c r="AF162" s="7">
        <f t="shared" si="50"/>
        <v>0.27111222361948079</v>
      </c>
    </row>
    <row r="163" spans="1:32" x14ac:dyDescent="0.3">
      <c r="A163" s="1">
        <v>39600</v>
      </c>
      <c r="B163">
        <f>AEP!F163</f>
        <v>21.890377000000001</v>
      </c>
      <c r="C163">
        <f>DFSVX!F163</f>
        <v>10.869946000000001</v>
      </c>
      <c r="D163">
        <f>DFLVX!F163</f>
        <v>11.931139999999999</v>
      </c>
      <c r="E163">
        <f>FSAGX!F163</f>
        <v>33.268397999999998</v>
      </c>
      <c r="F163" s="5">
        <f>'FRED Graph'!B173</f>
        <v>2.42</v>
      </c>
      <c r="G163" s="9">
        <f t="shared" si="35"/>
        <v>2.4199999999999999E-2</v>
      </c>
      <c r="H163" s="10">
        <f t="shared" si="40"/>
        <v>-7.4421175424271666E-2</v>
      </c>
      <c r="I163" s="10">
        <f t="shared" si="41"/>
        <v>-0.25272622227648633</v>
      </c>
      <c r="J163" s="10">
        <f t="shared" si="42"/>
        <v>-0.20254897940032607</v>
      </c>
      <c r="K163" s="10">
        <f t="shared" si="42"/>
        <v>0.4001162148209122</v>
      </c>
      <c r="L163" s="10">
        <f t="shared" si="43"/>
        <v>-0.14492117542427166</v>
      </c>
      <c r="M163" s="10">
        <f t="shared" si="44"/>
        <v>-0.32322622227648634</v>
      </c>
      <c r="N163" s="10">
        <f t="shared" si="45"/>
        <v>-0.27304897940032608</v>
      </c>
      <c r="O163" s="10">
        <f t="shared" si="46"/>
        <v>0.32961621482091219</v>
      </c>
      <c r="Y163" s="7">
        <f t="shared" si="36"/>
        <v>-7.4421175424271666E-2</v>
      </c>
      <c r="Z163" s="7">
        <f t="shared" si="37"/>
        <v>-0.25272622227648633</v>
      </c>
      <c r="AA163" s="7">
        <f t="shared" si="38"/>
        <v>-0.20254897940032607</v>
      </c>
      <c r="AB163" s="7">
        <f t="shared" si="39"/>
        <v>0.4001162148209122</v>
      </c>
      <c r="AC163" s="7">
        <f t="shared" si="47"/>
        <v>-0.12532117542427168</v>
      </c>
      <c r="AD163" s="7">
        <f t="shared" si="48"/>
        <v>-0.30362622227648633</v>
      </c>
      <c r="AE163" s="7">
        <f t="shared" si="49"/>
        <v>-0.25344897940032607</v>
      </c>
      <c r="AF163" s="7">
        <f t="shared" si="50"/>
        <v>0.3492162148209122</v>
      </c>
    </row>
    <row r="164" spans="1:32" x14ac:dyDescent="0.3">
      <c r="A164" s="1">
        <v>39630</v>
      </c>
      <c r="B164">
        <f>AEP!F164</f>
        <v>21.493165999999999</v>
      </c>
      <c r="C164">
        <f>DFSVX!F164</f>
        <v>11.110467</v>
      </c>
      <c r="D164">
        <f>DFLVX!F164</f>
        <v>11.845272</v>
      </c>
      <c r="E164">
        <f>FSAGX!F164</f>
        <v>29.576156999999998</v>
      </c>
      <c r="F164" s="5">
        <f>'FRED Graph'!B174</f>
        <v>2.2799999999999998</v>
      </c>
      <c r="G164" s="9">
        <f t="shared" si="35"/>
        <v>2.2799999999999997E-2</v>
      </c>
      <c r="H164" s="10">
        <f t="shared" si="40"/>
        <v>-5.8826584368234527E-2</v>
      </c>
      <c r="I164" s="10">
        <f t="shared" si="41"/>
        <v>-0.17518595953800181</v>
      </c>
      <c r="J164" s="10">
        <f t="shared" si="42"/>
        <v>-0.15824562091692773</v>
      </c>
      <c r="K164" s="10">
        <f t="shared" si="42"/>
        <v>0.17877623381956256</v>
      </c>
      <c r="L164" s="10">
        <f t="shared" si="43"/>
        <v>-0.12932658436823452</v>
      </c>
      <c r="M164" s="10">
        <f t="shared" si="44"/>
        <v>-0.24568595953800182</v>
      </c>
      <c r="N164" s="10">
        <f t="shared" si="45"/>
        <v>-0.22874562091692774</v>
      </c>
      <c r="O164" s="10">
        <f t="shared" si="46"/>
        <v>0.10827623381956257</v>
      </c>
      <c r="Y164" s="7">
        <f t="shared" si="36"/>
        <v>-5.8826584368234527E-2</v>
      </c>
      <c r="Z164" s="7">
        <f t="shared" si="37"/>
        <v>-0.17518595953800181</v>
      </c>
      <c r="AA164" s="7">
        <f t="shared" si="38"/>
        <v>-0.15824562091692773</v>
      </c>
      <c r="AB164" s="7">
        <f t="shared" si="39"/>
        <v>0.17877623381956256</v>
      </c>
      <c r="AC164" s="7">
        <f t="shared" si="47"/>
        <v>-0.10972658436823453</v>
      </c>
      <c r="AD164" s="7">
        <f t="shared" si="48"/>
        <v>-0.22608595953800181</v>
      </c>
      <c r="AE164" s="7">
        <f t="shared" si="49"/>
        <v>-0.20914562091692773</v>
      </c>
      <c r="AF164" s="7">
        <f t="shared" si="50"/>
        <v>0.12787623381956256</v>
      </c>
    </row>
    <row r="165" spans="1:32" x14ac:dyDescent="0.3">
      <c r="A165" s="1">
        <v>39661</v>
      </c>
      <c r="B165">
        <f>AEP!F165</f>
        <v>21.242868000000001</v>
      </c>
      <c r="C165">
        <f>DFSVX!F165</f>
        <v>11.571692000000001</v>
      </c>
      <c r="D165">
        <f>DFLVX!F165</f>
        <v>12.077757999999999</v>
      </c>
      <c r="E165">
        <f>FSAGX!F165</f>
        <v>25.914491999999999</v>
      </c>
      <c r="F165" s="5">
        <f>'FRED Graph'!B175</f>
        <v>2.1800000000000002</v>
      </c>
      <c r="G165" s="9">
        <f t="shared" si="35"/>
        <v>2.18E-2</v>
      </c>
      <c r="H165" s="10">
        <f t="shared" si="40"/>
        <v>-9.0490759130888554E-2</v>
      </c>
      <c r="I165" s="10">
        <f t="shared" si="41"/>
        <v>-0.13440590965461555</v>
      </c>
      <c r="J165" s="10">
        <f t="shared" si="42"/>
        <v>-0.12502237656305412</v>
      </c>
      <c r="K165" s="10">
        <f t="shared" si="42"/>
        <v>8.7421324584444987E-2</v>
      </c>
      <c r="L165" s="10">
        <f t="shared" si="43"/>
        <v>-0.16099075913088856</v>
      </c>
      <c r="M165" s="10">
        <f t="shared" si="44"/>
        <v>-0.20490590965461553</v>
      </c>
      <c r="N165" s="10">
        <f t="shared" si="45"/>
        <v>-0.1955223765630541</v>
      </c>
      <c r="O165" s="10">
        <f t="shared" si="46"/>
        <v>1.6921324584444994E-2</v>
      </c>
      <c r="Y165" s="7">
        <f t="shared" si="36"/>
        <v>-9.0490759130888554E-2</v>
      </c>
      <c r="Z165" s="7">
        <f t="shared" si="37"/>
        <v>-0.13440590965461555</v>
      </c>
      <c r="AA165" s="7">
        <f t="shared" si="38"/>
        <v>-0.12502237656305412</v>
      </c>
      <c r="AB165" s="7">
        <f t="shared" si="39"/>
        <v>8.7421324584444987E-2</v>
      </c>
      <c r="AC165" s="7">
        <f t="shared" si="47"/>
        <v>-0.14139075913088855</v>
      </c>
      <c r="AD165" s="7">
        <f t="shared" si="48"/>
        <v>-0.18530590965461555</v>
      </c>
      <c r="AE165" s="7">
        <f t="shared" si="49"/>
        <v>-0.17592237656305412</v>
      </c>
      <c r="AF165" s="7">
        <f t="shared" si="50"/>
        <v>3.6521324584444986E-2</v>
      </c>
    </row>
    <row r="166" spans="1:32" x14ac:dyDescent="0.3">
      <c r="A166" s="1">
        <v>39692</v>
      </c>
      <c r="B166">
        <f>AEP!F166</f>
        <v>20.357877999999999</v>
      </c>
      <c r="C166">
        <f>DFSVX!F166</f>
        <v>10.741486</v>
      </c>
      <c r="D166">
        <f>DFLVX!F166</f>
        <v>10.938565000000001</v>
      </c>
      <c r="E166">
        <f>FSAGX!F166</f>
        <v>23.712906</v>
      </c>
      <c r="F166" s="5">
        <f>'FRED Graph'!B176</f>
        <v>1.91</v>
      </c>
      <c r="G166" s="9">
        <f t="shared" si="35"/>
        <v>1.9099999999999999E-2</v>
      </c>
      <c r="H166" s="10">
        <f t="shared" si="40"/>
        <v>-0.16551928638395427</v>
      </c>
      <c r="I166" s="10">
        <f t="shared" si="41"/>
        <v>-0.19090830274613979</v>
      </c>
      <c r="J166" s="10">
        <f t="shared" si="42"/>
        <v>-0.22509358541261953</v>
      </c>
      <c r="K166" s="10">
        <f t="shared" si="42"/>
        <v>-0.20124880947268162</v>
      </c>
      <c r="L166" s="10">
        <f t="shared" si="43"/>
        <v>-0.23601928638395425</v>
      </c>
      <c r="M166" s="10">
        <f t="shared" si="44"/>
        <v>-0.2614083027461398</v>
      </c>
      <c r="N166" s="10">
        <f t="shared" si="45"/>
        <v>-0.29559358541261954</v>
      </c>
      <c r="O166" s="10">
        <f t="shared" si="46"/>
        <v>-0.2717488094726816</v>
      </c>
      <c r="Y166" s="7">
        <f t="shared" si="36"/>
        <v>-0.16551928638395427</v>
      </c>
      <c r="Z166" s="7">
        <f t="shared" si="37"/>
        <v>-0.19090830274613979</v>
      </c>
      <c r="AA166" s="7">
        <f t="shared" si="38"/>
        <v>-0.22509358541261953</v>
      </c>
      <c r="AB166" s="7">
        <f t="shared" si="39"/>
        <v>-0.20124880947268162</v>
      </c>
      <c r="AC166" s="7">
        <f t="shared" si="47"/>
        <v>-0.21641928638395427</v>
      </c>
      <c r="AD166" s="7">
        <f t="shared" si="48"/>
        <v>-0.24180830274613979</v>
      </c>
      <c r="AE166" s="7">
        <f t="shared" si="49"/>
        <v>-0.27599358541261954</v>
      </c>
      <c r="AF166" s="7">
        <f t="shared" si="50"/>
        <v>-0.25214880947268159</v>
      </c>
    </row>
    <row r="167" spans="1:32" x14ac:dyDescent="0.3">
      <c r="A167" s="1">
        <v>39722</v>
      </c>
      <c r="B167">
        <f>AEP!F167</f>
        <v>17.93891</v>
      </c>
      <c r="C167">
        <f>DFSVX!F167</f>
        <v>8.3881940000000004</v>
      </c>
      <c r="D167">
        <f>DFLVX!F167</f>
        <v>8.5131639999999997</v>
      </c>
      <c r="E167">
        <f>FSAGX!F167</f>
        <v>15.334654</v>
      </c>
      <c r="F167" s="5">
        <f>'FRED Graph'!B177</f>
        <v>1.42</v>
      </c>
      <c r="G167" s="9">
        <f t="shared" si="35"/>
        <v>1.4199999999999999E-2</v>
      </c>
      <c r="H167" s="10">
        <f t="shared" si="40"/>
        <v>-0.29716206652706484</v>
      </c>
      <c r="I167" s="10">
        <f t="shared" si="41"/>
        <v>-0.37772081349623193</v>
      </c>
      <c r="J167" s="10">
        <f t="shared" si="42"/>
        <v>-0.40203955860931961</v>
      </c>
      <c r="K167" s="10">
        <f t="shared" si="42"/>
        <v>-0.53937296537409329</v>
      </c>
      <c r="L167" s="10">
        <f t="shared" si="43"/>
        <v>-0.36766206652706485</v>
      </c>
      <c r="M167" s="10">
        <f t="shared" si="44"/>
        <v>-0.44822081349623194</v>
      </c>
      <c r="N167" s="10">
        <f t="shared" si="45"/>
        <v>-0.47253955860931962</v>
      </c>
      <c r="O167" s="10">
        <f t="shared" si="46"/>
        <v>-0.6098729653740933</v>
      </c>
      <c r="Y167" s="7">
        <f t="shared" si="36"/>
        <v>-0.29716206652706484</v>
      </c>
      <c r="Z167" s="7">
        <f t="shared" si="37"/>
        <v>-0.37772081349623193</v>
      </c>
      <c r="AA167" s="7">
        <f t="shared" si="38"/>
        <v>-0.40203955860931961</v>
      </c>
      <c r="AB167" s="7">
        <f t="shared" si="39"/>
        <v>-0.53937296537409329</v>
      </c>
      <c r="AC167" s="7">
        <f t="shared" si="47"/>
        <v>-0.34806206652706484</v>
      </c>
      <c r="AD167" s="7">
        <f t="shared" si="48"/>
        <v>-0.42862081349623193</v>
      </c>
      <c r="AE167" s="7">
        <f t="shared" si="49"/>
        <v>-0.45293955860931961</v>
      </c>
      <c r="AF167" s="7">
        <f t="shared" si="50"/>
        <v>-0.59027296537409324</v>
      </c>
    </row>
    <row r="168" spans="1:32" x14ac:dyDescent="0.3">
      <c r="A168" s="1">
        <v>39753</v>
      </c>
      <c r="B168">
        <f>AEP!F168</f>
        <v>17.202221000000002</v>
      </c>
      <c r="C168">
        <f>DFSVX!F168</f>
        <v>7.2985540000000002</v>
      </c>
      <c r="D168">
        <f>DFLVX!F168</f>
        <v>7.6781980000000001</v>
      </c>
      <c r="E168">
        <f>FSAGX!F168</f>
        <v>19.011603999999998</v>
      </c>
      <c r="F168" s="5">
        <f>'FRED Graph'!B178</f>
        <v>1.07</v>
      </c>
      <c r="G168" s="9">
        <f t="shared" si="35"/>
        <v>1.0700000000000001E-2</v>
      </c>
      <c r="H168" s="10">
        <f t="shared" si="40"/>
        <v>-0.3183906475617741</v>
      </c>
      <c r="I168" s="10">
        <f t="shared" si="41"/>
        <v>-0.40684398718496662</v>
      </c>
      <c r="J168" s="10">
        <f t="shared" si="42"/>
        <v>-0.42869007548343752</v>
      </c>
      <c r="K168" s="10">
        <f t="shared" si="42"/>
        <v>-0.37435387166260276</v>
      </c>
      <c r="L168" s="10">
        <f t="shared" si="43"/>
        <v>-0.38889064756177411</v>
      </c>
      <c r="M168" s="10">
        <f t="shared" si="44"/>
        <v>-0.47734398718496662</v>
      </c>
      <c r="N168" s="10">
        <f t="shared" si="45"/>
        <v>-0.49919007548343752</v>
      </c>
      <c r="O168" s="10">
        <f t="shared" si="46"/>
        <v>-0.44485387166260276</v>
      </c>
      <c r="Y168" s="7">
        <f t="shared" si="36"/>
        <v>-0.3183906475617741</v>
      </c>
      <c r="Z168" s="7">
        <f t="shared" si="37"/>
        <v>-0.40684398718496662</v>
      </c>
      <c r="AA168" s="7">
        <f t="shared" si="38"/>
        <v>-0.42869007548343752</v>
      </c>
      <c r="AB168" s="7">
        <f t="shared" si="39"/>
        <v>-0.37435387166260276</v>
      </c>
      <c r="AC168" s="7">
        <f t="shared" si="47"/>
        <v>-0.3692906475617741</v>
      </c>
      <c r="AD168" s="7">
        <f t="shared" si="48"/>
        <v>-0.45774398718496662</v>
      </c>
      <c r="AE168" s="7">
        <f t="shared" si="49"/>
        <v>-0.47959007548343752</v>
      </c>
      <c r="AF168" s="7">
        <f t="shared" si="50"/>
        <v>-0.42525387166260276</v>
      </c>
    </row>
    <row r="169" spans="1:32" x14ac:dyDescent="0.3">
      <c r="A169" s="1">
        <v>39783</v>
      </c>
      <c r="B169">
        <f>AEP!F169</f>
        <v>18.535540000000001</v>
      </c>
      <c r="C169">
        <f>DFSVX!F169</f>
        <v>7.5966639999999996</v>
      </c>
      <c r="D169">
        <f>DFLVX!F169</f>
        <v>7.830012</v>
      </c>
      <c r="E169">
        <f>FSAGX!F169</f>
        <v>24.140993000000002</v>
      </c>
      <c r="F169" s="5">
        <f>'FRED Graph'!B179</f>
        <v>0.49</v>
      </c>
      <c r="G169" s="9">
        <f t="shared" si="35"/>
        <v>4.8999999999999998E-3</v>
      </c>
      <c r="H169" s="10">
        <f t="shared" si="40"/>
        <v>-0.25450195706136808</v>
      </c>
      <c r="I169" s="10">
        <f t="shared" si="41"/>
        <v>-0.3139894546385828</v>
      </c>
      <c r="J169" s="10">
        <f t="shared" si="42"/>
        <v>-0.3862550019552804</v>
      </c>
      <c r="K169" s="10">
        <f t="shared" si="42"/>
        <v>-0.13483326908760981</v>
      </c>
      <c r="L169" s="10">
        <f t="shared" si="43"/>
        <v>-0.32500195706136809</v>
      </c>
      <c r="M169" s="10">
        <f t="shared" si="44"/>
        <v>-0.38448945463858281</v>
      </c>
      <c r="N169" s="10">
        <f t="shared" si="45"/>
        <v>-0.4567550019552804</v>
      </c>
      <c r="O169" s="10">
        <f t="shared" si="46"/>
        <v>-0.20533326908760979</v>
      </c>
      <c r="Y169" s="7">
        <f t="shared" si="36"/>
        <v>-0.25450195706136808</v>
      </c>
      <c r="Z169" s="7">
        <f t="shared" si="37"/>
        <v>-0.3139894546385828</v>
      </c>
      <c r="AA169" s="7">
        <f t="shared" si="38"/>
        <v>-0.3862550019552804</v>
      </c>
      <c r="AB169" s="7">
        <f t="shared" si="39"/>
        <v>-0.13483326908760981</v>
      </c>
      <c r="AC169" s="7">
        <f t="shared" si="47"/>
        <v>-0.30540195706136808</v>
      </c>
      <c r="AD169" s="7">
        <f t="shared" si="48"/>
        <v>-0.3648894546385828</v>
      </c>
      <c r="AE169" s="7">
        <f t="shared" si="49"/>
        <v>-0.4371550019552804</v>
      </c>
      <c r="AF169" s="7">
        <f t="shared" si="50"/>
        <v>-0.18573326908760981</v>
      </c>
    </row>
    <row r="170" spans="1:32" x14ac:dyDescent="0.3">
      <c r="A170" s="1">
        <v>39814</v>
      </c>
      <c r="B170">
        <f>AEP!F170</f>
        <v>17.460611</v>
      </c>
      <c r="C170">
        <f>DFSVX!F170</f>
        <v>6.5861770000000002</v>
      </c>
      <c r="D170">
        <f>DFLVX!F170</f>
        <v>6.9887800000000002</v>
      </c>
      <c r="E170">
        <f>FSAGX!F170</f>
        <v>23.789351</v>
      </c>
      <c r="F170" s="5">
        <f>'FRED Graph'!B180</f>
        <v>0.44</v>
      </c>
      <c r="G170" s="9">
        <f t="shared" si="35"/>
        <v>4.4000000000000003E-3</v>
      </c>
      <c r="H170" s="10">
        <f t="shared" si="40"/>
        <v>-0.23478935202380402</v>
      </c>
      <c r="I170" s="10">
        <f t="shared" si="41"/>
        <v>-0.43584072805255841</v>
      </c>
      <c r="J170" s="10">
        <f t="shared" si="42"/>
        <v>-0.4574278210332719</v>
      </c>
      <c r="K170" s="10">
        <f t="shared" si="42"/>
        <v>-0.27794897069409635</v>
      </c>
      <c r="L170" s="10">
        <f t="shared" si="43"/>
        <v>-0.30528935202380403</v>
      </c>
      <c r="M170" s="10">
        <f t="shared" si="44"/>
        <v>-0.50634072805255836</v>
      </c>
      <c r="N170" s="10">
        <f t="shared" si="45"/>
        <v>-0.52792782103327185</v>
      </c>
      <c r="O170" s="10">
        <f t="shared" si="46"/>
        <v>-0.34844897069409636</v>
      </c>
      <c r="Y170" s="7">
        <f t="shared" si="36"/>
        <v>-0.23478935202380402</v>
      </c>
      <c r="Z170" s="7">
        <f t="shared" si="37"/>
        <v>-0.43584072805255841</v>
      </c>
      <c r="AA170" s="7">
        <f t="shared" si="38"/>
        <v>-0.4574278210332719</v>
      </c>
      <c r="AB170" s="7">
        <f t="shared" si="39"/>
        <v>-0.27794897069409635</v>
      </c>
      <c r="AC170" s="7">
        <f t="shared" si="47"/>
        <v>-0.28568935202380402</v>
      </c>
      <c r="AD170" s="7">
        <f t="shared" si="48"/>
        <v>-0.48674072805255841</v>
      </c>
      <c r="AE170" s="7">
        <f t="shared" si="49"/>
        <v>-0.5083278210332719</v>
      </c>
      <c r="AF170" s="7">
        <f t="shared" si="50"/>
        <v>-0.32884897069409635</v>
      </c>
    </row>
    <row r="171" spans="1:32" x14ac:dyDescent="0.3">
      <c r="A171" s="1">
        <v>39845</v>
      </c>
      <c r="B171">
        <f>AEP!F171</f>
        <v>15.62265</v>
      </c>
      <c r="C171">
        <f>DFSVX!F171</f>
        <v>5.7492590000000003</v>
      </c>
      <c r="D171">
        <f>DFLVX!F171</f>
        <v>6.0072760000000001</v>
      </c>
      <c r="E171">
        <f>FSAGX!F171</f>
        <v>23.445353000000001</v>
      </c>
      <c r="F171" s="5">
        <f>'FRED Graph'!B181</f>
        <v>0.62</v>
      </c>
      <c r="G171" s="9">
        <f t="shared" si="35"/>
        <v>6.1999999999999998E-3</v>
      </c>
      <c r="H171" s="10">
        <f t="shared" si="40"/>
        <v>-0.28505326502250095</v>
      </c>
      <c r="I171" s="10">
        <f t="shared" si="41"/>
        <v>-0.49314279276054668</v>
      </c>
      <c r="J171" s="10">
        <f t="shared" si="42"/>
        <v>-0.51874242687035521</v>
      </c>
      <c r="K171" s="10">
        <f t="shared" si="42"/>
        <v>-0.33596352394504403</v>
      </c>
      <c r="L171" s="10">
        <f t="shared" si="43"/>
        <v>-0.35555326502250095</v>
      </c>
      <c r="M171" s="10">
        <f t="shared" si="44"/>
        <v>-0.56364279276054663</v>
      </c>
      <c r="N171" s="10">
        <f t="shared" si="45"/>
        <v>-0.58924242687035522</v>
      </c>
      <c r="O171" s="10">
        <f t="shared" si="46"/>
        <v>-0.40646352394504404</v>
      </c>
      <c r="Y171" s="7">
        <f t="shared" si="36"/>
        <v>-0.28505326502250095</v>
      </c>
      <c r="Z171" s="7">
        <f t="shared" si="37"/>
        <v>-0.49314279276054668</v>
      </c>
      <c r="AA171" s="7">
        <f t="shared" si="38"/>
        <v>-0.51874242687035521</v>
      </c>
      <c r="AB171" s="7">
        <f t="shared" si="39"/>
        <v>-0.33596352394504403</v>
      </c>
      <c r="AC171" s="7">
        <f t="shared" si="47"/>
        <v>-0.33595326502250095</v>
      </c>
      <c r="AD171" s="7">
        <f t="shared" si="48"/>
        <v>-0.54404279276054668</v>
      </c>
      <c r="AE171" s="7">
        <f t="shared" si="49"/>
        <v>-0.56964242687035527</v>
      </c>
      <c r="AF171" s="7">
        <f t="shared" si="50"/>
        <v>-0.38686352394504403</v>
      </c>
    </row>
    <row r="172" spans="1:32" x14ac:dyDescent="0.3">
      <c r="A172" s="1">
        <v>39873</v>
      </c>
      <c r="B172">
        <f>AEP!F172</f>
        <v>14.242373000000001</v>
      </c>
      <c r="C172">
        <f>DFSVX!F172</f>
        <v>6.3470579999999996</v>
      </c>
      <c r="D172">
        <f>DFLVX!F172</f>
        <v>6.5039420000000003</v>
      </c>
      <c r="E172">
        <f>FSAGX!F172</f>
        <v>26.075019999999999</v>
      </c>
      <c r="F172" s="5">
        <f>'FRED Graph'!B182</f>
        <v>0.64</v>
      </c>
      <c r="G172" s="9">
        <f t="shared" si="35"/>
        <v>6.4000000000000003E-3</v>
      </c>
      <c r="H172" s="10">
        <f t="shared" si="40"/>
        <v>-0.36538701466656376</v>
      </c>
      <c r="I172" s="10">
        <f t="shared" si="41"/>
        <v>-0.44294430950914432</v>
      </c>
      <c r="J172" s="10">
        <f t="shared" si="42"/>
        <v>-0.47261078961669717</v>
      </c>
      <c r="K172" s="10">
        <f t="shared" si="42"/>
        <v>-0.18132992858941893</v>
      </c>
      <c r="L172" s="10">
        <f t="shared" si="43"/>
        <v>-0.43588701466656377</v>
      </c>
      <c r="M172" s="10">
        <f t="shared" si="44"/>
        <v>-0.51344430950914433</v>
      </c>
      <c r="N172" s="10">
        <f t="shared" si="45"/>
        <v>-0.54311078961669712</v>
      </c>
      <c r="O172" s="10">
        <f t="shared" si="46"/>
        <v>-0.25182992858941894</v>
      </c>
      <c r="Y172" s="7">
        <f t="shared" si="36"/>
        <v>-0.36538701466656376</v>
      </c>
      <c r="Z172" s="7">
        <f t="shared" si="37"/>
        <v>-0.44294430950914432</v>
      </c>
      <c r="AA172" s="7">
        <f t="shared" si="38"/>
        <v>-0.47261078961669717</v>
      </c>
      <c r="AB172" s="7">
        <f t="shared" si="39"/>
        <v>-0.18132992858941893</v>
      </c>
      <c r="AC172" s="7">
        <f t="shared" si="47"/>
        <v>-0.41628701466656376</v>
      </c>
      <c r="AD172" s="7">
        <f t="shared" si="48"/>
        <v>-0.49384430950914432</v>
      </c>
      <c r="AE172" s="7">
        <f t="shared" si="49"/>
        <v>-0.52351078961669717</v>
      </c>
      <c r="AF172" s="7">
        <f t="shared" si="50"/>
        <v>-0.23222992858941893</v>
      </c>
    </row>
    <row r="173" spans="1:32" x14ac:dyDescent="0.3">
      <c r="A173" s="1">
        <v>39904</v>
      </c>
      <c r="B173">
        <f>AEP!F173</f>
        <v>14.873867000000001</v>
      </c>
      <c r="C173">
        <f>DFSVX!F173</f>
        <v>7.5946340000000001</v>
      </c>
      <c r="D173">
        <f>DFLVX!F173</f>
        <v>7.6748669999999999</v>
      </c>
      <c r="E173">
        <f>FSAGX!F173</f>
        <v>23.697617000000001</v>
      </c>
      <c r="F173" s="5">
        <f>'FRED Graph'!B183</f>
        <v>0.55000000000000004</v>
      </c>
      <c r="G173" s="9">
        <f t="shared" si="35"/>
        <v>5.5000000000000005E-3</v>
      </c>
      <c r="H173" s="10">
        <f t="shared" si="40"/>
        <v>-0.38179841826428357</v>
      </c>
      <c r="I173" s="10">
        <f t="shared" si="41"/>
        <v>-0.34683086326889967</v>
      </c>
      <c r="J173" s="10">
        <f t="shared" si="42"/>
        <v>-0.41596202309999641</v>
      </c>
      <c r="K173" s="10">
        <f t="shared" si="42"/>
        <v>-0.19641947513522703</v>
      </c>
      <c r="L173" s="10">
        <f t="shared" si="43"/>
        <v>-0.45229841826428357</v>
      </c>
      <c r="M173" s="10">
        <f t="shared" si="44"/>
        <v>-0.41733086326889968</v>
      </c>
      <c r="N173" s="10">
        <f t="shared" si="45"/>
        <v>-0.48646202309999642</v>
      </c>
      <c r="O173" s="10">
        <f t="shared" si="46"/>
        <v>-0.26691947513522701</v>
      </c>
      <c r="Y173" s="7">
        <f t="shared" si="36"/>
        <v>-0.38179841826428357</v>
      </c>
      <c r="Z173" s="7">
        <f t="shared" si="37"/>
        <v>-0.34683086326889967</v>
      </c>
      <c r="AA173" s="7">
        <f t="shared" si="38"/>
        <v>-0.41596202309999641</v>
      </c>
      <c r="AB173" s="7">
        <f t="shared" si="39"/>
        <v>-0.19641947513522703</v>
      </c>
      <c r="AC173" s="7">
        <f t="shared" si="47"/>
        <v>-0.43269841826428357</v>
      </c>
      <c r="AD173" s="7">
        <f t="shared" si="48"/>
        <v>-0.39773086326889967</v>
      </c>
      <c r="AE173" s="7">
        <f t="shared" si="49"/>
        <v>-0.46686202309999641</v>
      </c>
      <c r="AF173" s="7">
        <f t="shared" si="50"/>
        <v>-0.24731947513522703</v>
      </c>
    </row>
    <row r="174" spans="1:32" x14ac:dyDescent="0.3">
      <c r="A174" s="1">
        <v>39934</v>
      </c>
      <c r="B174">
        <f>AEP!F174</f>
        <v>14.851309000000001</v>
      </c>
      <c r="C174">
        <f>DFSVX!F174</f>
        <v>7.8389540000000002</v>
      </c>
      <c r="D174">
        <f>DFLVX!F174</f>
        <v>8.2633949999999992</v>
      </c>
      <c r="E174">
        <f>FSAGX!F174</f>
        <v>31.005659000000001</v>
      </c>
      <c r="F174" s="5">
        <f>'FRED Graph'!B184</f>
        <v>0.5</v>
      </c>
      <c r="G174" s="9">
        <f t="shared" si="35"/>
        <v>5.0000000000000001E-3</v>
      </c>
      <c r="H174" s="10">
        <f t="shared" si="40"/>
        <v>-0.34919696450149479</v>
      </c>
      <c r="I174" s="10">
        <f t="shared" si="41"/>
        <v>-0.3526028507775088</v>
      </c>
      <c r="J174" s="10">
        <f t="shared" si="42"/>
        <v>-0.38578787169281203</v>
      </c>
      <c r="K174" s="10">
        <f t="shared" si="42"/>
        <v>-2.3591579290126317E-2</v>
      </c>
      <c r="L174" s="10">
        <f t="shared" si="43"/>
        <v>-0.4196969645014948</v>
      </c>
      <c r="M174" s="10">
        <f t="shared" si="44"/>
        <v>-0.42310285077750881</v>
      </c>
      <c r="N174" s="10">
        <f t="shared" si="45"/>
        <v>-0.45628787169281204</v>
      </c>
      <c r="O174" s="10">
        <f t="shared" si="46"/>
        <v>-9.4091579290126307E-2</v>
      </c>
      <c r="Y174" s="7">
        <f t="shared" si="36"/>
        <v>-0.34919696450149479</v>
      </c>
      <c r="Z174" s="7">
        <f t="shared" si="37"/>
        <v>-0.3526028507775088</v>
      </c>
      <c r="AA174" s="7">
        <f t="shared" si="38"/>
        <v>-0.38578787169281203</v>
      </c>
      <c r="AB174" s="7">
        <f t="shared" si="39"/>
        <v>-2.3591579290126317E-2</v>
      </c>
      <c r="AC174" s="7">
        <f t="shared" si="47"/>
        <v>-0.40009696450149479</v>
      </c>
      <c r="AD174" s="7">
        <f t="shared" si="48"/>
        <v>-0.4035028507775088</v>
      </c>
      <c r="AE174" s="7">
        <f t="shared" si="49"/>
        <v>-0.43668787169281204</v>
      </c>
      <c r="AF174" s="7">
        <f t="shared" si="50"/>
        <v>-7.4491579290126314E-2</v>
      </c>
    </row>
    <row r="175" spans="1:32" x14ac:dyDescent="0.3">
      <c r="A175" s="1">
        <v>39965</v>
      </c>
      <c r="B175">
        <f>AEP!F175</f>
        <v>16.543023999999999</v>
      </c>
      <c r="C175">
        <f>DFSVX!F175</f>
        <v>7.8493510000000004</v>
      </c>
      <c r="D175">
        <f>DFLVX!F175</f>
        <v>8.1552959999999999</v>
      </c>
      <c r="E175">
        <f>FSAGX!F175</f>
        <v>27.420432999999999</v>
      </c>
      <c r="F175" s="5">
        <f>'FRED Graph'!B185</f>
        <v>0.51</v>
      </c>
      <c r="G175" s="9">
        <f t="shared" si="35"/>
        <v>5.1000000000000004E-3</v>
      </c>
      <c r="H175" s="10">
        <f t="shared" si="40"/>
        <v>-0.24427870748868336</v>
      </c>
      <c r="I175" s="10">
        <f t="shared" si="41"/>
        <v>-0.2778850051325002</v>
      </c>
      <c r="J175" s="10">
        <f t="shared" si="42"/>
        <v>-0.3164696751525839</v>
      </c>
      <c r="K175" s="10">
        <f t="shared" si="42"/>
        <v>-0.17578138268034424</v>
      </c>
      <c r="L175" s="10">
        <f t="shared" si="43"/>
        <v>-0.31477870748868336</v>
      </c>
      <c r="M175" s="10">
        <f t="shared" si="44"/>
        <v>-0.3483850051325002</v>
      </c>
      <c r="N175" s="10">
        <f t="shared" si="45"/>
        <v>-0.3869696751525839</v>
      </c>
      <c r="O175" s="10">
        <f t="shared" si="46"/>
        <v>-0.24628138268034422</v>
      </c>
      <c r="Y175" s="7">
        <f t="shared" si="36"/>
        <v>-0.24427870748868336</v>
      </c>
      <c r="Z175" s="7">
        <f t="shared" si="37"/>
        <v>-0.2778850051325002</v>
      </c>
      <c r="AA175" s="7">
        <f t="shared" si="38"/>
        <v>-0.3164696751525839</v>
      </c>
      <c r="AB175" s="7">
        <f t="shared" si="39"/>
        <v>-0.17578138268034424</v>
      </c>
      <c r="AC175" s="7">
        <f t="shared" si="47"/>
        <v>-0.29517870748868336</v>
      </c>
      <c r="AD175" s="7">
        <f t="shared" si="48"/>
        <v>-0.3287850051325002</v>
      </c>
      <c r="AE175" s="7">
        <f t="shared" si="49"/>
        <v>-0.3673696751525839</v>
      </c>
      <c r="AF175" s="7">
        <f t="shared" si="50"/>
        <v>-0.22668138268034424</v>
      </c>
    </row>
    <row r="176" spans="1:32" x14ac:dyDescent="0.3">
      <c r="A176" s="1">
        <v>39995</v>
      </c>
      <c r="B176">
        <f>AEP!F176</f>
        <v>17.728342000000001</v>
      </c>
      <c r="C176">
        <f>DFSVX!F176</f>
        <v>8.9243989999999993</v>
      </c>
      <c r="D176">
        <f>DFLVX!F176</f>
        <v>8.9328479999999999</v>
      </c>
      <c r="E176">
        <f>FSAGX!F176</f>
        <v>28.773491</v>
      </c>
      <c r="F176" s="5">
        <f>'FRED Graph'!B186</f>
        <v>0.48</v>
      </c>
      <c r="G176" s="9">
        <f t="shared" si="35"/>
        <v>4.7999999999999996E-3</v>
      </c>
      <c r="H176" s="10">
        <f t="shared" si="40"/>
        <v>-0.17516377066086949</v>
      </c>
      <c r="I176" s="10">
        <f t="shared" si="41"/>
        <v>-0.19675752603378424</v>
      </c>
      <c r="J176" s="10">
        <f t="shared" si="42"/>
        <v>-0.24587227714146198</v>
      </c>
      <c r="K176" s="10">
        <f t="shared" si="42"/>
        <v>-2.713895520638461E-2</v>
      </c>
      <c r="L176" s="10">
        <f t="shared" si="43"/>
        <v>-0.24566377066086947</v>
      </c>
      <c r="M176" s="10">
        <f t="shared" si="44"/>
        <v>-0.26725752603378422</v>
      </c>
      <c r="N176" s="10">
        <f t="shared" si="45"/>
        <v>-0.31637227714146199</v>
      </c>
      <c r="O176" s="10">
        <f t="shared" si="46"/>
        <v>-9.7638955206384603E-2</v>
      </c>
      <c r="Y176" s="7">
        <f t="shared" si="36"/>
        <v>-0.17516377066086949</v>
      </c>
      <c r="Z176" s="7">
        <f t="shared" si="37"/>
        <v>-0.19675752603378424</v>
      </c>
      <c r="AA176" s="7">
        <f t="shared" si="38"/>
        <v>-0.24587227714146198</v>
      </c>
      <c r="AB176" s="7">
        <f t="shared" si="39"/>
        <v>-2.713895520638461E-2</v>
      </c>
      <c r="AC176" s="7">
        <f t="shared" si="47"/>
        <v>-0.2260637706608695</v>
      </c>
      <c r="AD176" s="7">
        <f t="shared" si="48"/>
        <v>-0.24765752603378424</v>
      </c>
      <c r="AE176" s="7">
        <f t="shared" si="49"/>
        <v>-0.29677227714146198</v>
      </c>
      <c r="AF176" s="7">
        <f t="shared" si="50"/>
        <v>-7.8038955206384611E-2</v>
      </c>
    </row>
    <row r="177" spans="1:32" x14ac:dyDescent="0.3">
      <c r="A177" s="1">
        <v>40026</v>
      </c>
      <c r="B177">
        <f>AEP!F177</f>
        <v>17.997478000000001</v>
      </c>
      <c r="C177">
        <f>DFSVX!F177</f>
        <v>9.3828650000000007</v>
      </c>
      <c r="D177">
        <f>DFLVX!F177</f>
        <v>9.5399930000000008</v>
      </c>
      <c r="E177">
        <f>FSAGX!F177</f>
        <v>28.505939000000001</v>
      </c>
      <c r="F177" s="5">
        <f>'FRED Graph'!B187</f>
        <v>0.46</v>
      </c>
      <c r="G177" s="9">
        <f t="shared" si="35"/>
        <v>4.5999999999999999E-3</v>
      </c>
      <c r="H177" s="10">
        <f t="shared" si="40"/>
        <v>-0.15277551035010906</v>
      </c>
      <c r="I177" s="10">
        <f t="shared" si="41"/>
        <v>-0.18915358272584509</v>
      </c>
      <c r="J177" s="10">
        <f t="shared" si="42"/>
        <v>-0.21011888133542655</v>
      </c>
      <c r="K177" s="10">
        <f t="shared" si="42"/>
        <v>9.9999915105416781E-2</v>
      </c>
      <c r="L177" s="10">
        <f t="shared" si="43"/>
        <v>-0.22327551035010906</v>
      </c>
      <c r="M177" s="10">
        <f t="shared" si="44"/>
        <v>-0.2596535827258451</v>
      </c>
      <c r="N177" s="10">
        <f t="shared" si="45"/>
        <v>-0.28061888133542656</v>
      </c>
      <c r="O177" s="10">
        <f t="shared" si="46"/>
        <v>2.9499915105416788E-2</v>
      </c>
      <c r="Y177" s="7">
        <f t="shared" si="36"/>
        <v>-0.15277551035010906</v>
      </c>
      <c r="Z177" s="7">
        <f t="shared" si="37"/>
        <v>-0.18915358272584509</v>
      </c>
      <c r="AA177" s="7">
        <f t="shared" si="38"/>
        <v>-0.21011888133542655</v>
      </c>
      <c r="AB177" s="7">
        <f t="shared" si="39"/>
        <v>9.9999915105416781E-2</v>
      </c>
      <c r="AC177" s="7">
        <f t="shared" si="47"/>
        <v>-0.20367551035010906</v>
      </c>
      <c r="AD177" s="7">
        <f t="shared" si="48"/>
        <v>-0.24005358272584509</v>
      </c>
      <c r="AE177" s="7">
        <f t="shared" si="49"/>
        <v>-0.26101888133542656</v>
      </c>
      <c r="AF177" s="7">
        <f t="shared" si="50"/>
        <v>4.909991510541678E-2</v>
      </c>
    </row>
    <row r="178" spans="1:32" x14ac:dyDescent="0.3">
      <c r="A178" s="1">
        <v>40057</v>
      </c>
      <c r="B178">
        <f>AEP!F178</f>
        <v>17.984848</v>
      </c>
      <c r="C178">
        <f>DFSVX!F178</f>
        <v>9.9663620000000002</v>
      </c>
      <c r="D178">
        <f>DFLVX!F178</f>
        <v>9.9307289999999995</v>
      </c>
      <c r="E178">
        <f>FSAGX!F178</f>
        <v>31.808315</v>
      </c>
      <c r="F178" s="5">
        <f>'FRED Graph'!B188</f>
        <v>0.4</v>
      </c>
      <c r="G178" s="9">
        <f t="shared" si="35"/>
        <v>4.0000000000000001E-3</v>
      </c>
      <c r="H178" s="10">
        <f t="shared" si="40"/>
        <v>-0.11656568528409493</v>
      </c>
      <c r="I178" s="10">
        <f t="shared" si="41"/>
        <v>-7.2161710214024385E-2</v>
      </c>
      <c r="J178" s="10">
        <f t="shared" si="42"/>
        <v>-9.21360342970034E-2</v>
      </c>
      <c r="K178" s="10">
        <f t="shared" si="42"/>
        <v>0.34139253113895024</v>
      </c>
      <c r="L178" s="10">
        <f t="shared" si="43"/>
        <v>-0.18706568528409492</v>
      </c>
      <c r="M178" s="10">
        <f t="shared" si="44"/>
        <v>-0.14266171021402438</v>
      </c>
      <c r="N178" s="10">
        <f t="shared" si="45"/>
        <v>-0.16263603429700341</v>
      </c>
      <c r="O178" s="10">
        <f t="shared" si="46"/>
        <v>0.27089253113895023</v>
      </c>
      <c r="Y178" s="7">
        <f t="shared" si="36"/>
        <v>-0.11656568528409493</v>
      </c>
      <c r="Z178" s="7">
        <f t="shared" si="37"/>
        <v>-7.2161710214024385E-2</v>
      </c>
      <c r="AA178" s="7">
        <f t="shared" si="38"/>
        <v>-9.21360342970034E-2</v>
      </c>
      <c r="AB178" s="7">
        <f t="shared" si="39"/>
        <v>0.34139253113895024</v>
      </c>
      <c r="AC178" s="7">
        <f t="shared" si="47"/>
        <v>-0.16746568528409495</v>
      </c>
      <c r="AD178" s="7">
        <f t="shared" si="48"/>
        <v>-0.12306171021402439</v>
      </c>
      <c r="AE178" s="7">
        <f t="shared" si="49"/>
        <v>-0.1430360342970034</v>
      </c>
      <c r="AF178" s="7">
        <f t="shared" si="50"/>
        <v>0.29049253113895024</v>
      </c>
    </row>
    <row r="179" spans="1:32" x14ac:dyDescent="0.3">
      <c r="A179" s="1">
        <v>40087</v>
      </c>
      <c r="B179">
        <f>AEP!F179</f>
        <v>17.537989</v>
      </c>
      <c r="C179">
        <f>DFSVX!F179</f>
        <v>9.2263210000000004</v>
      </c>
      <c r="D179">
        <f>DFLVX!F179</f>
        <v>9.5278320000000001</v>
      </c>
      <c r="E179">
        <f>FSAGX!F179</f>
        <v>30.41703</v>
      </c>
      <c r="F179" s="5">
        <f>'FRED Graph'!B189</f>
        <v>0.37</v>
      </c>
      <c r="G179" s="9">
        <f t="shared" si="35"/>
        <v>3.7000000000000002E-3</v>
      </c>
      <c r="H179" s="10">
        <f t="shared" si="40"/>
        <v>-2.2349239725267606E-2</v>
      </c>
      <c r="I179" s="10">
        <f t="shared" si="41"/>
        <v>9.9917455414121323E-2</v>
      </c>
      <c r="J179" s="10">
        <f t="shared" si="42"/>
        <v>0.11918811854206032</v>
      </c>
      <c r="K179" s="10">
        <f t="shared" si="42"/>
        <v>0.98354850393103099</v>
      </c>
      <c r="L179" s="10">
        <f t="shared" si="43"/>
        <v>-9.2849239725267596E-2</v>
      </c>
      <c r="M179" s="10">
        <f t="shared" si="44"/>
        <v>2.941745541412133E-2</v>
      </c>
      <c r="N179" s="10">
        <f t="shared" si="45"/>
        <v>4.868811854206033E-2</v>
      </c>
      <c r="O179" s="10">
        <f t="shared" si="46"/>
        <v>0.91304850393103099</v>
      </c>
      <c r="Y179" s="7">
        <f t="shared" si="36"/>
        <v>-2.2349239725267606E-2</v>
      </c>
      <c r="Z179" s="7">
        <f t="shared" si="37"/>
        <v>9.9917455414121323E-2</v>
      </c>
      <c r="AA179" s="7">
        <f t="shared" si="38"/>
        <v>0.11918811854206032</v>
      </c>
      <c r="AB179" s="7">
        <f t="shared" si="39"/>
        <v>0.98354850393103099</v>
      </c>
      <c r="AC179" s="7">
        <f t="shared" si="47"/>
        <v>-7.3249239725267604E-2</v>
      </c>
      <c r="AD179" s="7">
        <f t="shared" si="48"/>
        <v>4.9017455414121322E-2</v>
      </c>
      <c r="AE179" s="7">
        <f t="shared" si="49"/>
        <v>6.8288118542060322E-2</v>
      </c>
      <c r="AF179" s="7">
        <f t="shared" si="50"/>
        <v>0.93264850393103105</v>
      </c>
    </row>
    <row r="180" spans="1:32" x14ac:dyDescent="0.3">
      <c r="A180" s="1">
        <v>40118</v>
      </c>
      <c r="B180">
        <f>AEP!F180</f>
        <v>18.681266999999998</v>
      </c>
      <c r="C180">
        <f>DFSVX!F180</f>
        <v>9.5131770000000007</v>
      </c>
      <c r="D180">
        <f>DFLVX!F180</f>
        <v>10.064188</v>
      </c>
      <c r="E180">
        <f>FSAGX!F180</f>
        <v>35.951571999999999</v>
      </c>
      <c r="F180" s="5">
        <f>'FRED Graph'!B190</f>
        <v>0.31</v>
      </c>
      <c r="G180" s="9">
        <f t="shared" si="35"/>
        <v>3.0999999999999999E-3</v>
      </c>
      <c r="H180" s="10">
        <f t="shared" si="40"/>
        <v>8.5979944101403916E-2</v>
      </c>
      <c r="I180" s="10">
        <f t="shared" si="41"/>
        <v>0.30343311839578091</v>
      </c>
      <c r="J180" s="10">
        <f t="shared" si="42"/>
        <v>0.31074869389927162</v>
      </c>
      <c r="K180" s="10">
        <f t="shared" si="42"/>
        <v>0.89103307643058427</v>
      </c>
      <c r="L180" s="10">
        <f t="shared" si="43"/>
        <v>1.5479944101403922E-2</v>
      </c>
      <c r="M180" s="10">
        <f t="shared" si="44"/>
        <v>0.2329331183957809</v>
      </c>
      <c r="N180" s="10">
        <f t="shared" si="45"/>
        <v>0.24024869389927161</v>
      </c>
      <c r="O180" s="10">
        <f t="shared" si="46"/>
        <v>0.82053307643058426</v>
      </c>
      <c r="Y180" s="7">
        <f t="shared" si="36"/>
        <v>8.5979944101403916E-2</v>
      </c>
      <c r="Z180" s="7">
        <f t="shared" si="37"/>
        <v>0.30343311839578091</v>
      </c>
      <c r="AA180" s="7">
        <f t="shared" si="38"/>
        <v>0.31074869389927162</v>
      </c>
      <c r="AB180" s="7">
        <f t="shared" si="39"/>
        <v>0.89103307643058427</v>
      </c>
      <c r="AC180" s="7">
        <f t="shared" si="47"/>
        <v>3.5079944101403915E-2</v>
      </c>
      <c r="AD180" s="7">
        <f t="shared" si="48"/>
        <v>0.25253311839578091</v>
      </c>
      <c r="AE180" s="7">
        <f t="shared" si="49"/>
        <v>0.25984869389927162</v>
      </c>
      <c r="AF180" s="7">
        <f t="shared" si="50"/>
        <v>0.84013307643058432</v>
      </c>
    </row>
    <row r="181" spans="1:32" x14ac:dyDescent="0.3">
      <c r="A181" s="1">
        <v>40148</v>
      </c>
      <c r="B181">
        <f>AEP!F181</f>
        <v>20.457885999999998</v>
      </c>
      <c r="C181">
        <f>DFSVX!F181</f>
        <v>10.238139</v>
      </c>
      <c r="D181">
        <f>DFLVX!F181</f>
        <v>10.281141</v>
      </c>
      <c r="E181">
        <f>FSAGX!F181</f>
        <v>32.740935999999998</v>
      </c>
      <c r="F181" s="5">
        <f>'FRED Graph'!B191</f>
        <v>0.37</v>
      </c>
      <c r="G181" s="9">
        <f t="shared" si="35"/>
        <v>3.7000000000000002E-3</v>
      </c>
      <c r="H181" s="10">
        <f t="shared" si="40"/>
        <v>0.10371135666940361</v>
      </c>
      <c r="I181" s="10">
        <f t="shared" si="41"/>
        <v>0.34771512864067711</v>
      </c>
      <c r="J181" s="10">
        <f t="shared" si="42"/>
        <v>0.31304281526005323</v>
      </c>
      <c r="K181" s="10">
        <f t="shared" si="42"/>
        <v>0.35623816302833922</v>
      </c>
      <c r="L181" s="10">
        <f t="shared" si="43"/>
        <v>3.3211356669403613E-2</v>
      </c>
      <c r="M181" s="10">
        <f t="shared" si="44"/>
        <v>0.2772151286406771</v>
      </c>
      <c r="N181" s="10">
        <f t="shared" si="45"/>
        <v>0.24254281526005322</v>
      </c>
      <c r="O181" s="10">
        <f t="shared" si="46"/>
        <v>0.28573816302833921</v>
      </c>
      <c r="Y181" s="7">
        <f t="shared" si="36"/>
        <v>0.10371135666940361</v>
      </c>
      <c r="Z181" s="7">
        <f t="shared" si="37"/>
        <v>0.34771512864067711</v>
      </c>
      <c r="AA181" s="7">
        <f t="shared" si="38"/>
        <v>0.31304281526005323</v>
      </c>
      <c r="AB181" s="7">
        <f t="shared" si="39"/>
        <v>0.35623816302833922</v>
      </c>
      <c r="AC181" s="7">
        <f t="shared" si="47"/>
        <v>5.2811356669403606E-2</v>
      </c>
      <c r="AD181" s="7">
        <f t="shared" si="48"/>
        <v>0.29681512864067711</v>
      </c>
      <c r="AE181" s="7">
        <f t="shared" si="49"/>
        <v>0.26214281526005323</v>
      </c>
      <c r="AF181" s="7">
        <f t="shared" si="50"/>
        <v>0.30533816302833922</v>
      </c>
    </row>
    <row r="182" spans="1:32" x14ac:dyDescent="0.3">
      <c r="A182" s="1">
        <v>40179</v>
      </c>
      <c r="B182">
        <f>AEP!F182</f>
        <v>20.375565000000002</v>
      </c>
      <c r="C182">
        <f>DFSVX!F182</f>
        <v>9.942304</v>
      </c>
      <c r="D182">
        <f>DFLVX!F182</f>
        <v>10.093268</v>
      </c>
      <c r="E182">
        <f>FSAGX!F182</f>
        <v>29.665306000000001</v>
      </c>
      <c r="F182" s="5">
        <f>'FRED Graph'!B192</f>
        <v>0.35</v>
      </c>
      <c r="G182" s="9">
        <f t="shared" si="35"/>
        <v>3.4999999999999996E-3</v>
      </c>
      <c r="H182" s="10">
        <f t="shared" si="40"/>
        <v>0.16694455881297635</v>
      </c>
      <c r="I182" s="10">
        <f t="shared" si="41"/>
        <v>0.50957133402275701</v>
      </c>
      <c r="J182" s="10">
        <f t="shared" si="42"/>
        <v>0.44421029135271101</v>
      </c>
      <c r="K182" s="10">
        <f t="shared" si="42"/>
        <v>0.24699938220256623</v>
      </c>
      <c r="L182" s="10">
        <f t="shared" si="43"/>
        <v>9.6444558812976353E-2</v>
      </c>
      <c r="M182" s="10">
        <f t="shared" si="44"/>
        <v>0.439071334022757</v>
      </c>
      <c r="N182" s="10">
        <f t="shared" si="45"/>
        <v>0.373710291352711</v>
      </c>
      <c r="O182" s="10">
        <f t="shared" si="46"/>
        <v>0.17649938220256622</v>
      </c>
      <c r="Y182" s="7">
        <f t="shared" si="36"/>
        <v>0.16694455881297635</v>
      </c>
      <c r="Z182" s="7">
        <f t="shared" si="37"/>
        <v>0.50957133402275701</v>
      </c>
      <c r="AA182" s="7">
        <f t="shared" si="38"/>
        <v>0.44421029135271101</v>
      </c>
      <c r="AB182" s="7">
        <f t="shared" si="39"/>
        <v>0.24699938220256623</v>
      </c>
      <c r="AC182" s="7">
        <f t="shared" si="47"/>
        <v>0.11604455881297635</v>
      </c>
      <c r="AD182" s="7">
        <f t="shared" si="48"/>
        <v>0.458671334022757</v>
      </c>
      <c r="AE182" s="7">
        <f t="shared" si="49"/>
        <v>0.39331029135271101</v>
      </c>
      <c r="AF182" s="7">
        <f t="shared" si="50"/>
        <v>0.19609938220256623</v>
      </c>
    </row>
    <row r="183" spans="1:32" x14ac:dyDescent="0.3">
      <c r="A183" s="1">
        <v>40210</v>
      </c>
      <c r="B183">
        <f>AEP!F183</f>
        <v>19.769874999999999</v>
      </c>
      <c r="C183">
        <f>DFSVX!F183</f>
        <v>10.554220000000001</v>
      </c>
      <c r="D183">
        <f>DFLVX!F183</f>
        <v>10.529472</v>
      </c>
      <c r="E183">
        <f>FSAGX!F183</f>
        <v>31.764811000000002</v>
      </c>
      <c r="F183" s="5">
        <f>'FRED Graph'!B193</f>
        <v>0.35</v>
      </c>
      <c r="G183" s="9">
        <f t="shared" si="35"/>
        <v>3.4999999999999996E-3</v>
      </c>
      <c r="H183" s="10">
        <f t="shared" si="40"/>
        <v>0.2654623255337602</v>
      </c>
      <c r="I183" s="10">
        <f t="shared" si="41"/>
        <v>0.83575309444225776</v>
      </c>
      <c r="J183" s="10">
        <f t="shared" si="42"/>
        <v>0.75278645429309388</v>
      </c>
      <c r="K183" s="10">
        <f t="shared" si="42"/>
        <v>0.35484464661291304</v>
      </c>
      <c r="L183" s="10">
        <f t="shared" si="43"/>
        <v>0.19496232553376019</v>
      </c>
      <c r="M183" s="10">
        <f t="shared" si="44"/>
        <v>0.76525309444225775</v>
      </c>
      <c r="N183" s="10">
        <f t="shared" si="45"/>
        <v>0.68228645429309387</v>
      </c>
      <c r="O183" s="10">
        <f t="shared" si="46"/>
        <v>0.28434464661291303</v>
      </c>
      <c r="Y183" s="7">
        <f t="shared" si="36"/>
        <v>0.2654623255337602</v>
      </c>
      <c r="Z183" s="7">
        <f t="shared" si="37"/>
        <v>0.83575309444225776</v>
      </c>
      <c r="AA183" s="7">
        <f t="shared" si="38"/>
        <v>0.75278645429309388</v>
      </c>
      <c r="AB183" s="7">
        <f t="shared" si="39"/>
        <v>0.35484464661291304</v>
      </c>
      <c r="AC183" s="7">
        <f t="shared" si="47"/>
        <v>0.2145623255337602</v>
      </c>
      <c r="AD183" s="7">
        <f t="shared" si="48"/>
        <v>0.78485309444225781</v>
      </c>
      <c r="AE183" s="7">
        <f t="shared" si="49"/>
        <v>0.70188645429309382</v>
      </c>
      <c r="AF183" s="7">
        <f t="shared" si="50"/>
        <v>0.30394464661291304</v>
      </c>
    </row>
    <row r="184" spans="1:32" x14ac:dyDescent="0.3">
      <c r="A184" s="1">
        <v>40238</v>
      </c>
      <c r="B184">
        <f>AEP!F184</f>
        <v>20.347166000000001</v>
      </c>
      <c r="C184">
        <f>DFSVX!F184</f>
        <v>11.485163999999999</v>
      </c>
      <c r="D184">
        <f>DFLVX!F184</f>
        <v>11.323119999999999</v>
      </c>
      <c r="E184">
        <f>FSAGX!F184</f>
        <v>32.386893999999998</v>
      </c>
      <c r="F184" s="5">
        <f>'FRED Graph'!B194</f>
        <v>0.4</v>
      </c>
      <c r="G184" s="9">
        <f t="shared" si="35"/>
        <v>4.0000000000000001E-3</v>
      </c>
      <c r="H184" s="10">
        <f t="shared" si="40"/>
        <v>0.42863594430506774</v>
      </c>
      <c r="I184" s="10">
        <f t="shared" si="41"/>
        <v>0.80952561013307267</v>
      </c>
      <c r="J184" s="10">
        <f t="shared" si="42"/>
        <v>0.74096263466064105</v>
      </c>
      <c r="K184" s="10">
        <f t="shared" si="42"/>
        <v>0.24206593130129908</v>
      </c>
      <c r="L184" s="10">
        <f t="shared" si="43"/>
        <v>0.35813594430506773</v>
      </c>
      <c r="M184" s="10">
        <f t="shared" si="44"/>
        <v>0.73902561013307266</v>
      </c>
      <c r="N184" s="10">
        <f t="shared" si="45"/>
        <v>0.67046263466064104</v>
      </c>
      <c r="O184" s="10">
        <f t="shared" si="46"/>
        <v>0.1715659313012991</v>
      </c>
      <c r="Y184" s="7">
        <f t="shared" si="36"/>
        <v>0.42863594430506774</v>
      </c>
      <c r="Z184" s="7">
        <f t="shared" si="37"/>
        <v>0.80952561013307267</v>
      </c>
      <c r="AA184" s="7">
        <f t="shared" si="38"/>
        <v>0.74096263466064105</v>
      </c>
      <c r="AB184" s="7">
        <f t="shared" si="39"/>
        <v>0.24206593130129908</v>
      </c>
      <c r="AC184" s="7">
        <f t="shared" si="47"/>
        <v>0.37773594430506774</v>
      </c>
      <c r="AD184" s="7">
        <f t="shared" si="48"/>
        <v>0.75862561013307261</v>
      </c>
      <c r="AE184" s="7">
        <f t="shared" si="49"/>
        <v>0.69006263466064111</v>
      </c>
      <c r="AF184" s="7">
        <f t="shared" si="50"/>
        <v>0.19116593130129908</v>
      </c>
    </row>
    <row r="185" spans="1:32" x14ac:dyDescent="0.3">
      <c r="A185" s="1">
        <v>40269</v>
      </c>
      <c r="B185">
        <f>AEP!F185</f>
        <v>20.418603999999998</v>
      </c>
      <c r="C185">
        <f>DFSVX!F185</f>
        <v>12.420736</v>
      </c>
      <c r="D185">
        <f>DFLVX!F185</f>
        <v>11.709097</v>
      </c>
      <c r="E185">
        <f>FSAGX!F185</f>
        <v>36.103802000000002</v>
      </c>
      <c r="F185" s="5">
        <f>'FRED Graph'!B195</f>
        <v>0.45</v>
      </c>
      <c r="G185" s="9">
        <f t="shared" si="35"/>
        <v>4.5000000000000005E-3</v>
      </c>
      <c r="H185" s="10">
        <f t="shared" si="40"/>
        <v>0.37278382279470412</v>
      </c>
      <c r="I185" s="10">
        <f t="shared" si="41"/>
        <v>0.63546209073406301</v>
      </c>
      <c r="J185" s="10">
        <f t="shared" si="42"/>
        <v>0.52564168212947537</v>
      </c>
      <c r="K185" s="10">
        <f t="shared" si="42"/>
        <v>0.52352036071812624</v>
      </c>
      <c r="L185" s="10">
        <f t="shared" si="43"/>
        <v>0.30228382279470412</v>
      </c>
      <c r="M185" s="10">
        <f t="shared" si="44"/>
        <v>0.564962090734063</v>
      </c>
      <c r="N185" s="10">
        <f t="shared" si="45"/>
        <v>0.45514168212947537</v>
      </c>
      <c r="O185" s="10">
        <f t="shared" si="46"/>
        <v>0.45302036071812624</v>
      </c>
      <c r="Y185" s="7">
        <f t="shared" si="36"/>
        <v>0.37278382279470412</v>
      </c>
      <c r="Z185" s="7">
        <f t="shared" si="37"/>
        <v>0.63546209073406301</v>
      </c>
      <c r="AA185" s="7">
        <f t="shared" si="38"/>
        <v>0.52564168212947537</v>
      </c>
      <c r="AB185" s="7">
        <f t="shared" si="39"/>
        <v>0.52352036071812624</v>
      </c>
      <c r="AC185" s="7">
        <f t="shared" si="47"/>
        <v>0.32188382279470412</v>
      </c>
      <c r="AD185" s="7">
        <f t="shared" si="48"/>
        <v>0.58456209073406296</v>
      </c>
      <c r="AE185" s="7">
        <f t="shared" si="49"/>
        <v>0.47474168212947537</v>
      </c>
      <c r="AF185" s="7">
        <f t="shared" si="50"/>
        <v>0.47262036071812624</v>
      </c>
    </row>
    <row r="186" spans="1:32" x14ac:dyDescent="0.3">
      <c r="A186" s="1">
        <v>40299</v>
      </c>
      <c r="B186">
        <f>AEP!F186</f>
        <v>19.025614000000001</v>
      </c>
      <c r="C186">
        <f>DFSVX!F186</f>
        <v>11.191217</v>
      </c>
      <c r="D186">
        <f>DFLVX!F186</f>
        <v>10.724455000000001</v>
      </c>
      <c r="E186">
        <f>FSAGX!F186</f>
        <v>35.553566000000004</v>
      </c>
      <c r="F186" s="5">
        <f>'FRED Graph'!B196</f>
        <v>0.37</v>
      </c>
      <c r="G186" s="9">
        <f t="shared" si="35"/>
        <v>3.7000000000000002E-3</v>
      </c>
      <c r="H186" s="10">
        <f t="shared" si="40"/>
        <v>0.2810732037155782</v>
      </c>
      <c r="I186" s="10">
        <f t="shared" si="41"/>
        <v>0.4276416215734905</v>
      </c>
      <c r="J186" s="10">
        <f t="shared" si="42"/>
        <v>0.29782674070403287</v>
      </c>
      <c r="K186" s="10">
        <f t="shared" si="42"/>
        <v>0.14667990123996402</v>
      </c>
      <c r="L186" s="10">
        <f t="shared" si="43"/>
        <v>0.21057320371557819</v>
      </c>
      <c r="M186" s="10">
        <f t="shared" si="44"/>
        <v>0.3571416215734905</v>
      </c>
      <c r="N186" s="10">
        <f t="shared" si="45"/>
        <v>0.22732674070403286</v>
      </c>
      <c r="O186" s="10">
        <f t="shared" si="46"/>
        <v>7.6179901239964029E-2</v>
      </c>
      <c r="Y186" s="7">
        <f t="shared" si="36"/>
        <v>0.2810732037155782</v>
      </c>
      <c r="Z186" s="7">
        <f t="shared" si="37"/>
        <v>0.4276416215734905</v>
      </c>
      <c r="AA186" s="7">
        <f t="shared" si="38"/>
        <v>0.29782674070403287</v>
      </c>
      <c r="AB186" s="7">
        <f t="shared" si="39"/>
        <v>0.14667990123996402</v>
      </c>
      <c r="AC186" s="7">
        <f t="shared" si="47"/>
        <v>0.2301732037155782</v>
      </c>
      <c r="AD186" s="7">
        <f t="shared" si="48"/>
        <v>0.3767416215734905</v>
      </c>
      <c r="AE186" s="7">
        <f t="shared" si="49"/>
        <v>0.24692674070403287</v>
      </c>
      <c r="AF186" s="7">
        <f t="shared" si="50"/>
        <v>9.5779901239964021E-2</v>
      </c>
    </row>
    <row r="187" spans="1:32" x14ac:dyDescent="0.3">
      <c r="A187" s="1">
        <v>40330</v>
      </c>
      <c r="B187">
        <f>AEP!F187</f>
        <v>19.473103999999999</v>
      </c>
      <c r="C187">
        <f>DFSVX!F187</f>
        <v>10.055878999999999</v>
      </c>
      <c r="D187">
        <f>DFLVX!F187</f>
        <v>9.8789079999999991</v>
      </c>
      <c r="E187">
        <f>FSAGX!F187</f>
        <v>37.020575999999998</v>
      </c>
      <c r="F187" s="5">
        <f>'FRED Graph'!B197</f>
        <v>0.32</v>
      </c>
      <c r="G187" s="9">
        <f t="shared" si="35"/>
        <v>3.2000000000000002E-3</v>
      </c>
      <c r="H187" s="10">
        <f t="shared" si="40"/>
        <v>0.17711876619413719</v>
      </c>
      <c r="I187" s="10">
        <f t="shared" si="41"/>
        <v>0.28110961020853809</v>
      </c>
      <c r="J187" s="10">
        <f t="shared" si="42"/>
        <v>0.21134879714972937</v>
      </c>
      <c r="K187" s="10">
        <f t="shared" si="42"/>
        <v>0.35010909565140708</v>
      </c>
      <c r="L187" s="10">
        <f t="shared" si="43"/>
        <v>0.1066187661941372</v>
      </c>
      <c r="M187" s="10">
        <f t="shared" si="44"/>
        <v>0.21060961020853808</v>
      </c>
      <c r="N187" s="10">
        <f t="shared" si="45"/>
        <v>0.14084879714972937</v>
      </c>
      <c r="O187" s="10">
        <f t="shared" si="46"/>
        <v>0.27960909565140707</v>
      </c>
      <c r="Y187" s="7">
        <f t="shared" si="36"/>
        <v>0.17711876619413719</v>
      </c>
      <c r="Z187" s="7">
        <f t="shared" si="37"/>
        <v>0.28110961020853809</v>
      </c>
      <c r="AA187" s="7">
        <f t="shared" si="38"/>
        <v>0.21134879714972937</v>
      </c>
      <c r="AB187" s="7">
        <f t="shared" si="39"/>
        <v>0.35010909565140708</v>
      </c>
      <c r="AC187" s="7">
        <f t="shared" si="47"/>
        <v>0.12621876619413719</v>
      </c>
      <c r="AD187" s="7">
        <f t="shared" si="48"/>
        <v>0.23020961020853808</v>
      </c>
      <c r="AE187" s="7">
        <f t="shared" si="49"/>
        <v>0.16044879714972937</v>
      </c>
      <c r="AF187" s="7">
        <f t="shared" si="50"/>
        <v>0.29920909565140708</v>
      </c>
    </row>
    <row r="188" spans="1:32" x14ac:dyDescent="0.3">
      <c r="A188" s="1">
        <v>40360</v>
      </c>
      <c r="B188">
        <f>AEP!F188</f>
        <v>21.69171</v>
      </c>
      <c r="C188">
        <f>DFSVX!F188</f>
        <v>10.929622</v>
      </c>
      <c r="D188">
        <f>DFLVX!F188</f>
        <v>10.689112</v>
      </c>
      <c r="E188">
        <f>FSAGX!F188</f>
        <v>35.012272000000003</v>
      </c>
      <c r="F188" s="5">
        <f>'FRED Graph'!B198</f>
        <v>0.28999999999999998</v>
      </c>
      <c r="G188" s="9">
        <f t="shared" si="35"/>
        <v>2.8999999999999998E-3</v>
      </c>
      <c r="H188" s="10">
        <f t="shared" si="40"/>
        <v>0.22356112038001066</v>
      </c>
      <c r="I188" s="10">
        <f t="shared" si="41"/>
        <v>0.22468997632221521</v>
      </c>
      <c r="J188" s="10">
        <f t="shared" si="42"/>
        <v>0.1966073977750433</v>
      </c>
      <c r="K188" s="10">
        <f t="shared" si="42"/>
        <v>0.21682391615254482</v>
      </c>
      <c r="L188" s="10">
        <f t="shared" si="43"/>
        <v>0.15306112038001068</v>
      </c>
      <c r="M188" s="10">
        <f t="shared" si="44"/>
        <v>0.15418997632221521</v>
      </c>
      <c r="N188" s="10">
        <f t="shared" si="45"/>
        <v>0.12610739777504332</v>
      </c>
      <c r="O188" s="10">
        <f t="shared" si="46"/>
        <v>0.14632391615254481</v>
      </c>
      <c r="Y188" s="7">
        <f t="shared" si="36"/>
        <v>0.22356112038001066</v>
      </c>
      <c r="Z188" s="7">
        <f t="shared" si="37"/>
        <v>0.22468997632221521</v>
      </c>
      <c r="AA188" s="7">
        <f t="shared" si="38"/>
        <v>0.1966073977750433</v>
      </c>
      <c r="AB188" s="7">
        <f t="shared" si="39"/>
        <v>0.21682391615254482</v>
      </c>
      <c r="AC188" s="7">
        <f t="shared" si="47"/>
        <v>0.17266112038001066</v>
      </c>
      <c r="AD188" s="7">
        <f t="shared" si="48"/>
        <v>0.17378997632221521</v>
      </c>
      <c r="AE188" s="7">
        <f t="shared" si="49"/>
        <v>0.1457073977750433</v>
      </c>
      <c r="AF188" s="7">
        <f t="shared" si="50"/>
        <v>0.16592391615254481</v>
      </c>
    </row>
    <row r="189" spans="1:32" x14ac:dyDescent="0.3">
      <c r="A189" s="1">
        <v>40391</v>
      </c>
      <c r="B189">
        <f>AEP!F189</f>
        <v>21.348065999999999</v>
      </c>
      <c r="C189">
        <f>DFSVX!F189</f>
        <v>10.014023</v>
      </c>
      <c r="D189">
        <f>DFLVX!F189</f>
        <v>10.035923</v>
      </c>
      <c r="E189">
        <f>FSAGX!F189</f>
        <v>38.715107000000003</v>
      </c>
      <c r="F189" s="5">
        <f>'FRED Graph'!B199</f>
        <v>0.26</v>
      </c>
      <c r="G189" s="9">
        <f t="shared" si="35"/>
        <v>2.5999999999999999E-3</v>
      </c>
      <c r="H189" s="10">
        <f t="shared" si="40"/>
        <v>0.18616986224403209</v>
      </c>
      <c r="I189" s="10">
        <f t="shared" si="41"/>
        <v>6.7267087398145367E-2</v>
      </c>
      <c r="J189" s="10">
        <f t="shared" si="42"/>
        <v>5.1984314873186964E-2</v>
      </c>
      <c r="K189" s="10">
        <f t="shared" si="42"/>
        <v>0.35814178933028662</v>
      </c>
      <c r="L189" s="10">
        <f t="shared" si="43"/>
        <v>0.1156698622440321</v>
      </c>
      <c r="M189" s="10">
        <f t="shared" si="44"/>
        <v>-3.2329126018546261E-3</v>
      </c>
      <c r="N189" s="10">
        <f t="shared" si="45"/>
        <v>-1.8515685126813029E-2</v>
      </c>
      <c r="O189" s="10">
        <f t="shared" si="46"/>
        <v>0.28764178933028661</v>
      </c>
      <c r="Y189" s="7">
        <f t="shared" si="36"/>
        <v>0.18616986224403209</v>
      </c>
      <c r="Z189" s="7">
        <f t="shared" si="37"/>
        <v>6.7267087398145367E-2</v>
      </c>
      <c r="AA189" s="7">
        <f t="shared" si="38"/>
        <v>5.1984314873186964E-2</v>
      </c>
      <c r="AB189" s="7">
        <f t="shared" si="39"/>
        <v>0.35814178933028662</v>
      </c>
      <c r="AC189" s="7">
        <f t="shared" si="47"/>
        <v>0.13526986224403209</v>
      </c>
      <c r="AD189" s="7">
        <f t="shared" si="48"/>
        <v>1.6367087398145366E-2</v>
      </c>
      <c r="AE189" s="7">
        <f t="shared" si="49"/>
        <v>1.0843148731869631E-3</v>
      </c>
      <c r="AF189" s="7">
        <f t="shared" si="50"/>
        <v>0.30724178933028662</v>
      </c>
    </row>
    <row r="190" spans="1:32" x14ac:dyDescent="0.3">
      <c r="A190" s="1">
        <v>40422</v>
      </c>
      <c r="B190">
        <f>AEP!F190</f>
        <v>22.097332000000002</v>
      </c>
      <c r="C190">
        <f>DFSVX!F190</f>
        <v>11.295859999999999</v>
      </c>
      <c r="D190">
        <f>DFLVX!F190</f>
        <v>10.939398000000001</v>
      </c>
      <c r="E190">
        <f>FSAGX!F190</f>
        <v>41.335330999999996</v>
      </c>
      <c r="F190" s="5">
        <f>'FRED Graph'!B200</f>
        <v>0.26</v>
      </c>
      <c r="G190" s="9">
        <f t="shared" si="35"/>
        <v>2.5999999999999999E-3</v>
      </c>
      <c r="H190" s="10">
        <f t="shared" si="40"/>
        <v>0.2286638174534476</v>
      </c>
      <c r="I190" s="10">
        <f t="shared" si="41"/>
        <v>0.13339852596162965</v>
      </c>
      <c r="J190" s="10">
        <f t="shared" si="42"/>
        <v>0.1015704889338941</v>
      </c>
      <c r="K190" s="10">
        <f t="shared" si="42"/>
        <v>0.29951338195688754</v>
      </c>
      <c r="L190" s="10">
        <f t="shared" si="43"/>
        <v>0.1581638174534476</v>
      </c>
      <c r="M190" s="10">
        <f t="shared" si="44"/>
        <v>6.2898525961629662E-2</v>
      </c>
      <c r="N190" s="10">
        <f t="shared" si="45"/>
        <v>3.1070488933894108E-2</v>
      </c>
      <c r="O190" s="10">
        <f t="shared" si="46"/>
        <v>0.22901338195688753</v>
      </c>
      <c r="Y190" s="7">
        <f t="shared" si="36"/>
        <v>0.2286638174534476</v>
      </c>
      <c r="Z190" s="7">
        <f t="shared" si="37"/>
        <v>0.13339852596162965</v>
      </c>
      <c r="AA190" s="7">
        <f t="shared" si="38"/>
        <v>0.1015704889338941</v>
      </c>
      <c r="AB190" s="7">
        <f t="shared" si="39"/>
        <v>0.29951338195688754</v>
      </c>
      <c r="AC190" s="7">
        <f t="shared" si="47"/>
        <v>0.1777638174534476</v>
      </c>
      <c r="AD190" s="7">
        <f t="shared" si="48"/>
        <v>8.2498525961629654E-2</v>
      </c>
      <c r="AE190" s="7">
        <f t="shared" si="49"/>
        <v>5.0670488933894101E-2</v>
      </c>
      <c r="AF190" s="7">
        <f t="shared" si="50"/>
        <v>0.24861338195688754</v>
      </c>
    </row>
    <row r="191" spans="1:32" x14ac:dyDescent="0.3">
      <c r="A191" s="1">
        <v>40452</v>
      </c>
      <c r="B191">
        <f>AEP!F191</f>
        <v>22.835331</v>
      </c>
      <c r="C191">
        <f>DFSVX!F191</f>
        <v>11.780842</v>
      </c>
      <c r="D191">
        <f>DFLVX!F191</f>
        <v>11.425998999999999</v>
      </c>
      <c r="E191">
        <f>FSAGX!F191</f>
        <v>42.135528999999998</v>
      </c>
      <c r="F191" s="5">
        <f>'FRED Graph'!B201</f>
        <v>0.23</v>
      </c>
      <c r="G191" s="9">
        <f t="shared" si="35"/>
        <v>2.3E-3</v>
      </c>
      <c r="H191" s="10">
        <f t="shared" si="40"/>
        <v>0.30204956794077137</v>
      </c>
      <c r="I191" s="10">
        <f t="shared" si="41"/>
        <v>0.27687319788678494</v>
      </c>
      <c r="J191" s="10">
        <f t="shared" si="42"/>
        <v>0.19922339100857353</v>
      </c>
      <c r="K191" s="10">
        <f t="shared" si="42"/>
        <v>0.38526111852472111</v>
      </c>
      <c r="L191" s="10">
        <f t="shared" si="43"/>
        <v>0.23154956794077136</v>
      </c>
      <c r="M191" s="10">
        <f t="shared" si="44"/>
        <v>0.20637319788678493</v>
      </c>
      <c r="N191" s="10">
        <f t="shared" si="45"/>
        <v>0.12872339100857355</v>
      </c>
      <c r="O191" s="10">
        <f t="shared" si="46"/>
        <v>0.31476111852472111</v>
      </c>
      <c r="Y191" s="7">
        <f t="shared" si="36"/>
        <v>0.30204956794077137</v>
      </c>
      <c r="Z191" s="7">
        <f t="shared" si="37"/>
        <v>0.27687319788678494</v>
      </c>
      <c r="AA191" s="7">
        <f t="shared" si="38"/>
        <v>0.19922339100857353</v>
      </c>
      <c r="AB191" s="7">
        <f t="shared" si="39"/>
        <v>0.38526111852472111</v>
      </c>
      <c r="AC191" s="7">
        <f t="shared" si="47"/>
        <v>0.25114956794077137</v>
      </c>
      <c r="AD191" s="7">
        <f t="shared" si="48"/>
        <v>0.22597319788678494</v>
      </c>
      <c r="AE191" s="7">
        <f t="shared" si="49"/>
        <v>0.14832339100857353</v>
      </c>
      <c r="AF191" s="7">
        <f t="shared" si="50"/>
        <v>0.33436111852472111</v>
      </c>
    </row>
    <row r="192" spans="1:32" x14ac:dyDescent="0.3">
      <c r="A192" s="1">
        <v>40483</v>
      </c>
      <c r="B192">
        <f>AEP!F192</f>
        <v>21.713085</v>
      </c>
      <c r="C192">
        <f>DFSVX!F192</f>
        <v>12.309906</v>
      </c>
      <c r="D192">
        <f>DFLVX!F192</f>
        <v>11.339911000000001</v>
      </c>
      <c r="E192">
        <f>FSAGX!F192</f>
        <v>43.343657999999998</v>
      </c>
      <c r="F192" s="5">
        <f>'FRED Graph'!B202</f>
        <v>0.25</v>
      </c>
      <c r="G192" s="9">
        <f t="shared" si="35"/>
        <v>2.5000000000000001E-3</v>
      </c>
      <c r="H192" s="10">
        <f t="shared" si="40"/>
        <v>0.16229188309336842</v>
      </c>
      <c r="I192" s="10">
        <f t="shared" si="41"/>
        <v>0.29398475398912466</v>
      </c>
      <c r="J192" s="10">
        <f t="shared" si="42"/>
        <v>0.12675866150354118</v>
      </c>
      <c r="K192" s="10">
        <f t="shared" si="42"/>
        <v>0.20561231647951303</v>
      </c>
      <c r="L192" s="10">
        <f t="shared" si="43"/>
        <v>9.1791883093368429E-2</v>
      </c>
      <c r="M192" s="10">
        <f t="shared" si="44"/>
        <v>0.22348475398912465</v>
      </c>
      <c r="N192" s="10">
        <f t="shared" si="45"/>
        <v>5.6258661503541182E-2</v>
      </c>
      <c r="O192" s="10">
        <f t="shared" si="46"/>
        <v>0.13511231647951305</v>
      </c>
      <c r="Y192" s="7">
        <f t="shared" si="36"/>
        <v>0.16229188309336842</v>
      </c>
      <c r="Z192" s="7">
        <f t="shared" si="37"/>
        <v>0.29398475398912466</v>
      </c>
      <c r="AA192" s="7">
        <f t="shared" si="38"/>
        <v>0.12675866150354118</v>
      </c>
      <c r="AB192" s="7">
        <f t="shared" si="39"/>
        <v>0.20561231647951303</v>
      </c>
      <c r="AC192" s="7">
        <f t="shared" si="47"/>
        <v>0.11139188309336842</v>
      </c>
      <c r="AD192" s="7">
        <f t="shared" si="48"/>
        <v>0.24308475398912466</v>
      </c>
      <c r="AE192" s="7">
        <f t="shared" si="49"/>
        <v>7.5858661503541175E-2</v>
      </c>
      <c r="AF192" s="7">
        <f t="shared" si="50"/>
        <v>0.15471231647951303</v>
      </c>
    </row>
    <row r="193" spans="1:32" x14ac:dyDescent="0.3">
      <c r="A193" s="1">
        <v>40513</v>
      </c>
      <c r="B193">
        <f>AEP!F193</f>
        <v>22.215919</v>
      </c>
      <c r="C193">
        <f>DFSVX!F193</f>
        <v>13.394223999999999</v>
      </c>
      <c r="D193">
        <f>DFLVX!F193</f>
        <v>12.373042</v>
      </c>
      <c r="E193">
        <f>FSAGX!F193</f>
        <v>41.664825</v>
      </c>
      <c r="F193" s="5">
        <f>'FRED Graph'!B203</f>
        <v>0.28999999999999998</v>
      </c>
      <c r="G193" s="9">
        <f t="shared" si="35"/>
        <v>2.8999999999999998E-3</v>
      </c>
      <c r="H193" s="10">
        <f t="shared" si="40"/>
        <v>8.59342456009385E-2</v>
      </c>
      <c r="I193" s="10">
        <f t="shared" si="41"/>
        <v>0.30826744977773785</v>
      </c>
      <c r="J193" s="10">
        <f t="shared" si="42"/>
        <v>0.2034697316183097</v>
      </c>
      <c r="K193" s="10">
        <f t="shared" si="42"/>
        <v>0.27256059509111175</v>
      </c>
      <c r="L193" s="10">
        <f t="shared" si="43"/>
        <v>1.5434245600938507E-2</v>
      </c>
      <c r="M193" s="10">
        <f t="shared" si="44"/>
        <v>0.23776744977773784</v>
      </c>
      <c r="N193" s="10">
        <f t="shared" si="45"/>
        <v>0.13296973161830972</v>
      </c>
      <c r="O193" s="10">
        <f t="shared" si="46"/>
        <v>0.20206059509111174</v>
      </c>
      <c r="Y193" s="7">
        <f t="shared" si="36"/>
        <v>8.59342456009385E-2</v>
      </c>
      <c r="Z193" s="7">
        <f t="shared" si="37"/>
        <v>0.30826744977773785</v>
      </c>
      <c r="AA193" s="7">
        <f t="shared" si="38"/>
        <v>0.2034697316183097</v>
      </c>
      <c r="AB193" s="7">
        <f t="shared" si="39"/>
        <v>0.27256059509111175</v>
      </c>
      <c r="AC193" s="7">
        <f t="shared" si="47"/>
        <v>3.5034245600938499E-2</v>
      </c>
      <c r="AD193" s="7">
        <f t="shared" si="48"/>
        <v>0.25736744977773784</v>
      </c>
      <c r="AE193" s="7">
        <f t="shared" si="49"/>
        <v>0.1525697316183097</v>
      </c>
      <c r="AF193" s="7">
        <f t="shared" si="50"/>
        <v>0.22166059509111175</v>
      </c>
    </row>
    <row r="194" spans="1:32" x14ac:dyDescent="0.3">
      <c r="A194" s="1">
        <v>40544</v>
      </c>
      <c r="B194">
        <f>AEP!F194</f>
        <v>22.030684999999998</v>
      </c>
      <c r="C194">
        <f>DFSVX!F194</f>
        <v>13.481717</v>
      </c>
      <c r="D194">
        <f>DFLVX!F194</f>
        <v>12.844713</v>
      </c>
      <c r="E194">
        <f>FSAGX!F194</f>
        <v>39.914653999999999</v>
      </c>
      <c r="F194" s="5">
        <f>'FRED Graph'!B204</f>
        <v>0.27</v>
      </c>
      <c r="G194" s="9">
        <f t="shared" si="35"/>
        <v>2.7000000000000001E-3</v>
      </c>
      <c r="H194" s="10">
        <f t="shared" si="40"/>
        <v>8.1230630905204174E-2</v>
      </c>
      <c r="I194" s="10">
        <f t="shared" si="41"/>
        <v>0.35599525019552808</v>
      </c>
      <c r="J194" s="10">
        <f t="shared" si="42"/>
        <v>0.27260199570644517</v>
      </c>
      <c r="K194" s="10">
        <f t="shared" si="42"/>
        <v>0.34549948684163234</v>
      </c>
      <c r="L194" s="10">
        <f t="shared" si="43"/>
        <v>1.073063090520418E-2</v>
      </c>
      <c r="M194" s="10">
        <f t="shared" si="44"/>
        <v>0.28549525019552807</v>
      </c>
      <c r="N194" s="10">
        <f t="shared" si="45"/>
        <v>0.20210199570644516</v>
      </c>
      <c r="O194" s="10">
        <f t="shared" si="46"/>
        <v>0.27499948684163233</v>
      </c>
      <c r="Y194" s="7">
        <f t="shared" si="36"/>
        <v>8.1230630905204174E-2</v>
      </c>
      <c r="Z194" s="7">
        <f t="shared" si="37"/>
        <v>0.35599525019552808</v>
      </c>
      <c r="AA194" s="7">
        <f t="shared" si="38"/>
        <v>0.27260199570644517</v>
      </c>
      <c r="AB194" s="7">
        <f t="shared" si="39"/>
        <v>0.34549948684163234</v>
      </c>
      <c r="AC194" s="7">
        <f t="shared" si="47"/>
        <v>3.0330630905204173E-2</v>
      </c>
      <c r="AD194" s="7">
        <f t="shared" si="48"/>
        <v>0.30509525019552808</v>
      </c>
      <c r="AE194" s="7">
        <f t="shared" si="49"/>
        <v>0.22170199570644517</v>
      </c>
      <c r="AF194" s="7">
        <f t="shared" si="50"/>
        <v>0.29459948684163234</v>
      </c>
    </row>
    <row r="195" spans="1:32" x14ac:dyDescent="0.3">
      <c r="A195" s="1">
        <v>40575</v>
      </c>
      <c r="B195">
        <f>AEP!F195</f>
        <v>22.092428000000002</v>
      </c>
      <c r="C195">
        <f>DFSVX!F195</f>
        <v>14.327939000000001</v>
      </c>
      <c r="D195">
        <f>DFLVX!F195</f>
        <v>13.537353</v>
      </c>
      <c r="E195">
        <f>FSAGX!F195</f>
        <v>43.629612000000002</v>
      </c>
      <c r="F195" s="5">
        <f>'FRED Graph'!B205</f>
        <v>0.28999999999999998</v>
      </c>
      <c r="G195" s="9">
        <f t="shared" ref="G195:G258" si="51">F195/100</f>
        <v>2.8999999999999998E-3</v>
      </c>
      <c r="H195" s="10">
        <f t="shared" si="40"/>
        <v>0.11747939731536</v>
      </c>
      <c r="I195" s="10">
        <f t="shared" si="41"/>
        <v>0.35755546122783111</v>
      </c>
      <c r="J195" s="10">
        <f t="shared" si="42"/>
        <v>0.28566304179354857</v>
      </c>
      <c r="K195" s="10">
        <f t="shared" si="42"/>
        <v>0.37352027688752815</v>
      </c>
      <c r="L195" s="10">
        <f t="shared" si="43"/>
        <v>4.6979397315360008E-2</v>
      </c>
      <c r="M195" s="10">
        <f t="shared" si="44"/>
        <v>0.2870554612278311</v>
      </c>
      <c r="N195" s="10">
        <f t="shared" si="45"/>
        <v>0.21516304179354856</v>
      </c>
      <c r="O195" s="10">
        <f t="shared" si="46"/>
        <v>0.30302027688752814</v>
      </c>
      <c r="Y195" s="7">
        <f t="shared" si="36"/>
        <v>0.11747939731536</v>
      </c>
      <c r="Z195" s="7">
        <f t="shared" si="37"/>
        <v>0.35755546122783111</v>
      </c>
      <c r="AA195" s="7">
        <f t="shared" si="38"/>
        <v>0.28566304179354857</v>
      </c>
      <c r="AB195" s="7">
        <f t="shared" si="39"/>
        <v>0.37352027688752815</v>
      </c>
      <c r="AC195" s="7">
        <f t="shared" si="47"/>
        <v>6.657939731536E-2</v>
      </c>
      <c r="AD195" s="7">
        <f t="shared" si="48"/>
        <v>0.30665546122783111</v>
      </c>
      <c r="AE195" s="7">
        <f t="shared" si="49"/>
        <v>0.23476304179354857</v>
      </c>
      <c r="AF195" s="7">
        <f t="shared" si="50"/>
        <v>0.32262027688752815</v>
      </c>
    </row>
    <row r="196" spans="1:32" x14ac:dyDescent="0.3">
      <c r="A196" s="1">
        <v>40603</v>
      </c>
      <c r="B196">
        <f>AEP!F196</f>
        <v>21.977781</v>
      </c>
      <c r="C196">
        <f>DFSVX!F196</f>
        <v>14.622278</v>
      </c>
      <c r="D196">
        <f>DFLVX!F196</f>
        <v>13.56209</v>
      </c>
      <c r="E196">
        <f>FSAGX!F196</f>
        <v>44.189399999999999</v>
      </c>
      <c r="F196" s="5">
        <f>'FRED Graph'!B206</f>
        <v>0.26</v>
      </c>
      <c r="G196" s="9">
        <f t="shared" si="51"/>
        <v>2.5999999999999999E-3</v>
      </c>
      <c r="H196" s="10">
        <f t="shared" si="40"/>
        <v>8.0139661710136867E-2</v>
      </c>
      <c r="I196" s="10">
        <f t="shared" si="41"/>
        <v>0.27314490241497646</v>
      </c>
      <c r="J196" s="10">
        <f t="shared" si="42"/>
        <v>0.19773437003228794</v>
      </c>
      <c r="K196" s="10">
        <f t="shared" si="42"/>
        <v>0.36442228760806766</v>
      </c>
      <c r="L196" s="10">
        <f t="shared" si="43"/>
        <v>9.6396617101368737E-3</v>
      </c>
      <c r="M196" s="10">
        <f t="shared" si="44"/>
        <v>0.20264490241497646</v>
      </c>
      <c r="N196" s="10">
        <f t="shared" si="45"/>
        <v>0.12723437003228794</v>
      </c>
      <c r="O196" s="10">
        <f t="shared" si="46"/>
        <v>0.29392228760806766</v>
      </c>
      <c r="Y196" s="7">
        <f t="shared" si="36"/>
        <v>8.0139661710136867E-2</v>
      </c>
      <c r="Z196" s="7">
        <f t="shared" si="37"/>
        <v>0.27314490241497646</v>
      </c>
      <c r="AA196" s="7">
        <f t="shared" si="38"/>
        <v>0.19773437003228794</v>
      </c>
      <c r="AB196" s="7">
        <f t="shared" si="39"/>
        <v>0.36442228760806766</v>
      </c>
      <c r="AC196" s="7">
        <f t="shared" si="47"/>
        <v>2.9239661710136866E-2</v>
      </c>
      <c r="AD196" s="7">
        <f t="shared" si="48"/>
        <v>0.22224490241497646</v>
      </c>
      <c r="AE196" s="7">
        <f t="shared" si="49"/>
        <v>0.14683437003228794</v>
      </c>
      <c r="AF196" s="7">
        <f t="shared" si="50"/>
        <v>0.31352228760806766</v>
      </c>
    </row>
    <row r="197" spans="1:32" x14ac:dyDescent="0.3">
      <c r="A197" s="1">
        <v>40634</v>
      </c>
      <c r="B197">
        <f>AEP!F197</f>
        <v>22.815863</v>
      </c>
      <c r="C197">
        <f>DFSVX!F197</f>
        <v>14.806241</v>
      </c>
      <c r="D197">
        <f>DFLVX!F197</f>
        <v>13.940357000000001</v>
      </c>
      <c r="E197">
        <f>FSAGX!F197</f>
        <v>44.689812000000003</v>
      </c>
      <c r="F197" s="5">
        <f>'FRED Graph'!B207</f>
        <v>0.25</v>
      </c>
      <c r="G197" s="9">
        <f t="shared" si="51"/>
        <v>2.5000000000000001E-3</v>
      </c>
      <c r="H197" s="10">
        <f t="shared" si="40"/>
        <v>0.11740562675097681</v>
      </c>
      <c r="I197" s="10">
        <f t="shared" si="41"/>
        <v>0.1920582645022002</v>
      </c>
      <c r="J197" s="10">
        <f t="shared" si="42"/>
        <v>0.19055782012908432</v>
      </c>
      <c r="K197" s="10">
        <f t="shared" si="42"/>
        <v>0.23781456590084338</v>
      </c>
      <c r="L197" s="10">
        <f t="shared" si="43"/>
        <v>4.6905626750976814E-2</v>
      </c>
      <c r="M197" s="10">
        <f t="shared" si="44"/>
        <v>0.12155826450220021</v>
      </c>
      <c r="N197" s="10">
        <f t="shared" si="45"/>
        <v>0.12005782012908432</v>
      </c>
      <c r="O197" s="10">
        <f t="shared" si="46"/>
        <v>0.16731456590084337</v>
      </c>
      <c r="Y197" s="7">
        <f t="shared" si="36"/>
        <v>0.11740562675097681</v>
      </c>
      <c r="Z197" s="7">
        <f t="shared" si="37"/>
        <v>0.1920582645022002</v>
      </c>
      <c r="AA197" s="7">
        <f t="shared" si="38"/>
        <v>0.19055782012908432</v>
      </c>
      <c r="AB197" s="7">
        <f t="shared" si="39"/>
        <v>0.23781456590084338</v>
      </c>
      <c r="AC197" s="7">
        <f t="shared" si="47"/>
        <v>6.6505626750976807E-2</v>
      </c>
      <c r="AD197" s="7">
        <f t="shared" si="48"/>
        <v>0.1411582645022002</v>
      </c>
      <c r="AE197" s="7">
        <f t="shared" si="49"/>
        <v>0.13965782012908431</v>
      </c>
      <c r="AF197" s="7">
        <f t="shared" si="50"/>
        <v>0.18691456590084338</v>
      </c>
    </row>
    <row r="198" spans="1:32" x14ac:dyDescent="0.3">
      <c r="A198" s="1">
        <v>40664</v>
      </c>
      <c r="B198">
        <f>AEP!F198</f>
        <v>23.891604999999998</v>
      </c>
      <c r="C198">
        <f>DFSVX!F198</f>
        <v>14.343709</v>
      </c>
      <c r="D198">
        <f>DFLVX!F198</f>
        <v>13.741918999999999</v>
      </c>
      <c r="E198">
        <f>FSAGX!F198</f>
        <v>43.508110000000002</v>
      </c>
      <c r="F198" s="5">
        <f>'FRED Graph'!B208</f>
        <v>0.19</v>
      </c>
      <c r="G198" s="9">
        <f t="shared" si="51"/>
        <v>1.9E-3</v>
      </c>
      <c r="H198" s="10">
        <f t="shared" si="40"/>
        <v>0.25575999807417504</v>
      </c>
      <c r="I198" s="10">
        <f t="shared" si="41"/>
        <v>0.28169340296055384</v>
      </c>
      <c r="J198" s="10">
        <f t="shared" si="42"/>
        <v>0.28136292240491462</v>
      </c>
      <c r="K198" s="10">
        <f t="shared" si="42"/>
        <v>0.22373406931951628</v>
      </c>
      <c r="L198" s="10">
        <f t="shared" si="43"/>
        <v>0.18525999807417504</v>
      </c>
      <c r="M198" s="10">
        <f t="shared" si="44"/>
        <v>0.21119340296055383</v>
      </c>
      <c r="N198" s="10">
        <f t="shared" si="45"/>
        <v>0.21086292240491461</v>
      </c>
      <c r="O198" s="10">
        <f t="shared" si="46"/>
        <v>0.15323406931951628</v>
      </c>
      <c r="Y198" s="7">
        <f t="shared" si="36"/>
        <v>0.25575999807417504</v>
      </c>
      <c r="Z198" s="7">
        <f t="shared" si="37"/>
        <v>0.28169340296055384</v>
      </c>
      <c r="AA198" s="7">
        <f t="shared" si="38"/>
        <v>0.28136292240491462</v>
      </c>
      <c r="AB198" s="7">
        <f t="shared" si="39"/>
        <v>0.22373406931951628</v>
      </c>
      <c r="AC198" s="7">
        <f t="shared" si="47"/>
        <v>0.20485999807417504</v>
      </c>
      <c r="AD198" s="7">
        <f t="shared" si="48"/>
        <v>0.23079340296055384</v>
      </c>
      <c r="AE198" s="7">
        <f t="shared" si="49"/>
        <v>0.23046292240491462</v>
      </c>
      <c r="AF198" s="7">
        <f t="shared" si="50"/>
        <v>0.17283406931951628</v>
      </c>
    </row>
    <row r="199" spans="1:32" x14ac:dyDescent="0.3">
      <c r="A199" s="1">
        <v>40695</v>
      </c>
      <c r="B199">
        <f>AEP!F199</f>
        <v>23.865843000000002</v>
      </c>
      <c r="C199">
        <f>DFSVX!F199</f>
        <v>14.070399</v>
      </c>
      <c r="D199">
        <f>DFLVX!F199</f>
        <v>13.444255</v>
      </c>
      <c r="E199">
        <f>FSAGX!F199</f>
        <v>41.242798000000001</v>
      </c>
      <c r="F199" s="5">
        <f>'FRED Graph'!B209</f>
        <v>0.18</v>
      </c>
      <c r="G199" s="9">
        <f t="shared" si="51"/>
        <v>1.8E-3</v>
      </c>
      <c r="H199" s="10">
        <f t="shared" si="40"/>
        <v>0.22557980484261791</v>
      </c>
      <c r="I199" s="10">
        <f t="shared" si="41"/>
        <v>0.39922119190177224</v>
      </c>
      <c r="J199" s="10">
        <f t="shared" si="42"/>
        <v>0.36090497046839604</v>
      </c>
      <c r="K199" s="10">
        <f t="shared" si="42"/>
        <v>0.11405068359822393</v>
      </c>
      <c r="L199" s="10">
        <f t="shared" si="43"/>
        <v>0.15507980484261791</v>
      </c>
      <c r="M199" s="10">
        <f t="shared" si="44"/>
        <v>0.32872119190177224</v>
      </c>
      <c r="N199" s="10">
        <f t="shared" si="45"/>
        <v>0.29040497046839603</v>
      </c>
      <c r="O199" s="10">
        <f t="shared" si="46"/>
        <v>4.3550683598223935E-2</v>
      </c>
      <c r="Y199" s="7">
        <f t="shared" si="36"/>
        <v>0.22557980484261791</v>
      </c>
      <c r="Z199" s="7">
        <f t="shared" si="37"/>
        <v>0.39922119190177224</v>
      </c>
      <c r="AA199" s="7">
        <f t="shared" si="38"/>
        <v>0.36090497046839604</v>
      </c>
      <c r="AB199" s="7">
        <f t="shared" si="39"/>
        <v>0.11405068359822393</v>
      </c>
      <c r="AC199" s="7">
        <f t="shared" si="47"/>
        <v>0.17467980484261791</v>
      </c>
      <c r="AD199" s="7">
        <f t="shared" si="48"/>
        <v>0.34832119190177224</v>
      </c>
      <c r="AE199" s="7">
        <f t="shared" si="49"/>
        <v>0.31000497046839603</v>
      </c>
      <c r="AF199" s="7">
        <f t="shared" si="50"/>
        <v>6.3150683598223928E-2</v>
      </c>
    </row>
    <row r="200" spans="1:32" x14ac:dyDescent="0.3">
      <c r="A200" s="1">
        <v>40725</v>
      </c>
      <c r="B200">
        <f>AEP!F200</f>
        <v>23.346468000000002</v>
      </c>
      <c r="C200">
        <f>DFSVX!F200</f>
        <v>13.679012999999999</v>
      </c>
      <c r="D200">
        <f>DFLVX!F200</f>
        <v>12.875662</v>
      </c>
      <c r="E200">
        <f>FSAGX!F200</f>
        <v>43.164352000000001</v>
      </c>
      <c r="F200" s="5">
        <f>'FRED Graph'!B210</f>
        <v>0.19</v>
      </c>
      <c r="G200" s="9">
        <f t="shared" si="51"/>
        <v>1.9E-3</v>
      </c>
      <c r="H200" s="10">
        <f t="shared" si="40"/>
        <v>7.6285272115476421E-2</v>
      </c>
      <c r="I200" s="10">
        <f t="shared" si="41"/>
        <v>0.25155407936340335</v>
      </c>
      <c r="J200" s="10">
        <f t="shared" si="42"/>
        <v>0.20455862002381495</v>
      </c>
      <c r="K200" s="10">
        <f t="shared" si="42"/>
        <v>0.23283493284868795</v>
      </c>
      <c r="L200" s="10">
        <f t="shared" si="43"/>
        <v>5.7852721154764281E-3</v>
      </c>
      <c r="M200" s="10">
        <f t="shared" si="44"/>
        <v>0.18105407936340334</v>
      </c>
      <c r="N200" s="10">
        <f t="shared" si="45"/>
        <v>0.13405862002381497</v>
      </c>
      <c r="O200" s="10">
        <f t="shared" si="46"/>
        <v>0.16233493284868794</v>
      </c>
      <c r="Y200" s="7">
        <f t="shared" si="36"/>
        <v>7.6285272115476421E-2</v>
      </c>
      <c r="Z200" s="7">
        <f t="shared" si="37"/>
        <v>0.25155407936340335</v>
      </c>
      <c r="AA200" s="7">
        <f t="shared" si="38"/>
        <v>0.20455862002381495</v>
      </c>
      <c r="AB200" s="7">
        <f t="shared" si="39"/>
        <v>0.23283493284868795</v>
      </c>
      <c r="AC200" s="7">
        <f t="shared" si="47"/>
        <v>2.538527211547642E-2</v>
      </c>
      <c r="AD200" s="7">
        <f t="shared" si="48"/>
        <v>0.20065407936340335</v>
      </c>
      <c r="AE200" s="7">
        <f t="shared" si="49"/>
        <v>0.15365862002381495</v>
      </c>
      <c r="AF200" s="7">
        <f t="shared" si="50"/>
        <v>0.18193493284868795</v>
      </c>
    </row>
    <row r="201" spans="1:32" x14ac:dyDescent="0.3">
      <c r="A201" s="1">
        <v>40756</v>
      </c>
      <c r="B201">
        <f>AEP!F201</f>
        <v>24.467558</v>
      </c>
      <c r="C201">
        <f>DFSVX!F201</f>
        <v>12.232196999999999</v>
      </c>
      <c r="D201">
        <f>DFLVX!F201</f>
        <v>11.786612999999999</v>
      </c>
      <c r="E201">
        <f>FSAGX!F201</f>
        <v>46.487400000000001</v>
      </c>
      <c r="F201" s="5">
        <f>'FRED Graph'!B211</f>
        <v>0.11</v>
      </c>
      <c r="G201" s="9">
        <f t="shared" si="51"/>
        <v>1.1000000000000001E-3</v>
      </c>
      <c r="H201" s="10">
        <f t="shared" si="40"/>
        <v>0.14612527429885222</v>
      </c>
      <c r="I201" s="10">
        <f t="shared" si="41"/>
        <v>0.22150678104094623</v>
      </c>
      <c r="J201" s="10">
        <f t="shared" si="42"/>
        <v>0.17444235074342426</v>
      </c>
      <c r="K201" s="10">
        <f t="shared" si="42"/>
        <v>0.20075607694949665</v>
      </c>
      <c r="L201" s="10">
        <f t="shared" si="43"/>
        <v>7.5625274298852227E-2</v>
      </c>
      <c r="M201" s="10">
        <f t="shared" si="44"/>
        <v>0.15100678104094623</v>
      </c>
      <c r="N201" s="10">
        <f t="shared" si="45"/>
        <v>0.10394235074342427</v>
      </c>
      <c r="O201" s="10">
        <f t="shared" si="46"/>
        <v>0.13025607694949665</v>
      </c>
      <c r="Y201" s="7">
        <f t="shared" si="36"/>
        <v>0.14612527429885222</v>
      </c>
      <c r="Z201" s="7">
        <f t="shared" si="37"/>
        <v>0.22150678104094623</v>
      </c>
      <c r="AA201" s="7">
        <f t="shared" si="38"/>
        <v>0.17444235074342426</v>
      </c>
      <c r="AB201" s="7">
        <f t="shared" si="39"/>
        <v>0.20075607694949665</v>
      </c>
      <c r="AC201" s="7">
        <f t="shared" si="47"/>
        <v>9.5225274298852219E-2</v>
      </c>
      <c r="AD201" s="7">
        <f t="shared" si="48"/>
        <v>0.17060678104094623</v>
      </c>
      <c r="AE201" s="7">
        <f t="shared" si="49"/>
        <v>0.12354235074342426</v>
      </c>
      <c r="AF201" s="7">
        <f t="shared" si="50"/>
        <v>0.14985607694949665</v>
      </c>
    </row>
    <row r="202" spans="1:32" x14ac:dyDescent="0.3">
      <c r="A202" s="1">
        <v>40787</v>
      </c>
      <c r="B202">
        <f>AEP!F202</f>
        <v>24.390795000000001</v>
      </c>
      <c r="C202">
        <f>DFSVX!F202</f>
        <v>10.674894999999999</v>
      </c>
      <c r="D202">
        <f>DFLVX!F202</f>
        <v>10.548214</v>
      </c>
      <c r="E202">
        <f>FSAGX!F202</f>
        <v>40.123375000000003</v>
      </c>
      <c r="F202" s="5">
        <f>'FRED Graph'!B212</f>
        <v>0.1</v>
      </c>
      <c r="G202" s="9">
        <f t="shared" si="51"/>
        <v>1E-3</v>
      </c>
      <c r="H202" s="10">
        <f t="shared" si="40"/>
        <v>0.10378913617263835</v>
      </c>
      <c r="I202" s="10">
        <f t="shared" si="41"/>
        <v>-5.4972795342718483E-2</v>
      </c>
      <c r="J202" s="10">
        <f t="shared" si="42"/>
        <v>-3.5759188942572601E-2</v>
      </c>
      <c r="K202" s="10">
        <f t="shared" si="42"/>
        <v>-2.9320099069727872E-2</v>
      </c>
      <c r="L202" s="10">
        <f t="shared" si="43"/>
        <v>3.3289136172638359E-2</v>
      </c>
      <c r="M202" s="10">
        <f t="shared" si="44"/>
        <v>-0.12547279534271849</v>
      </c>
      <c r="N202" s="10">
        <f t="shared" si="45"/>
        <v>-0.10625918894257259</v>
      </c>
      <c r="O202" s="10">
        <f t="shared" si="46"/>
        <v>-9.9820099069727858E-2</v>
      </c>
      <c r="Y202" s="7">
        <f t="shared" si="36"/>
        <v>0.10378913617263835</v>
      </c>
      <c r="Z202" s="7">
        <f t="shared" si="37"/>
        <v>-5.4972795342718483E-2</v>
      </c>
      <c r="AA202" s="7">
        <f t="shared" si="38"/>
        <v>-3.5759188942572601E-2</v>
      </c>
      <c r="AB202" s="7">
        <f t="shared" si="39"/>
        <v>-2.9320099069727872E-2</v>
      </c>
      <c r="AC202" s="7">
        <f t="shared" si="47"/>
        <v>5.2889136172638351E-2</v>
      </c>
      <c r="AD202" s="7">
        <f t="shared" si="48"/>
        <v>-0.10587279534271848</v>
      </c>
      <c r="AE202" s="7">
        <f t="shared" si="49"/>
        <v>-8.6659188942572601E-2</v>
      </c>
      <c r="AF202" s="7">
        <f t="shared" si="50"/>
        <v>-8.0220099069727879E-2</v>
      </c>
    </row>
    <row r="203" spans="1:32" x14ac:dyDescent="0.3">
      <c r="A203" s="1">
        <v>40817</v>
      </c>
      <c r="B203">
        <f>AEP!F203</f>
        <v>25.199116</v>
      </c>
      <c r="C203">
        <f>DFSVX!F203</f>
        <v>12.385102</v>
      </c>
      <c r="D203">
        <f>DFLVX!F203</f>
        <v>12.057725</v>
      </c>
      <c r="E203">
        <f>FSAGX!F203</f>
        <v>42.829402999999999</v>
      </c>
      <c r="F203" s="5">
        <f>'FRED Graph'!B213</f>
        <v>0.11</v>
      </c>
      <c r="G203" s="9">
        <f t="shared" si="51"/>
        <v>1.1000000000000001E-3</v>
      </c>
      <c r="H203" s="10">
        <f t="shared" si="40"/>
        <v>0.10351437428255364</v>
      </c>
      <c r="I203" s="10">
        <f t="shared" si="41"/>
        <v>5.1291749774761433E-2</v>
      </c>
      <c r="J203" s="10">
        <f t="shared" si="42"/>
        <v>5.5288469743433419E-2</v>
      </c>
      <c r="K203" s="10">
        <f t="shared" si="42"/>
        <v>1.6467670312149185E-2</v>
      </c>
      <c r="L203" s="10">
        <f t="shared" si="43"/>
        <v>3.3014374282553646E-2</v>
      </c>
      <c r="M203" s="10">
        <f t="shared" si="44"/>
        <v>-1.920825022523856E-2</v>
      </c>
      <c r="N203" s="10">
        <f t="shared" si="45"/>
        <v>-1.5211530256566574E-2</v>
      </c>
      <c r="O203" s="10">
        <f t="shared" si="46"/>
        <v>-5.4032329687850808E-2</v>
      </c>
      <c r="Y203" s="7">
        <f t="shared" si="36"/>
        <v>0.10351437428255364</v>
      </c>
      <c r="Z203" s="7">
        <f t="shared" si="37"/>
        <v>5.1291749774761433E-2</v>
      </c>
      <c r="AA203" s="7">
        <f t="shared" si="38"/>
        <v>5.5288469743433419E-2</v>
      </c>
      <c r="AB203" s="7">
        <f t="shared" si="39"/>
        <v>1.6467670312149185E-2</v>
      </c>
      <c r="AC203" s="7">
        <f t="shared" si="47"/>
        <v>5.2614374282553639E-2</v>
      </c>
      <c r="AD203" s="7">
        <f t="shared" si="48"/>
        <v>3.9174977476143236E-4</v>
      </c>
      <c r="AE203" s="7">
        <f t="shared" si="49"/>
        <v>4.388469743433418E-3</v>
      </c>
      <c r="AF203" s="7">
        <f t="shared" si="50"/>
        <v>-3.4432329687850816E-2</v>
      </c>
    </row>
    <row r="204" spans="1:32" x14ac:dyDescent="0.3">
      <c r="A204" s="1">
        <v>40848</v>
      </c>
      <c r="B204">
        <f>AEP!F204</f>
        <v>25.455721</v>
      </c>
      <c r="C204">
        <f>DFSVX!F204</f>
        <v>12.300777</v>
      </c>
      <c r="D204">
        <f>DFLVX!F204</f>
        <v>11.957713</v>
      </c>
      <c r="E204">
        <f>FSAGX!F204</f>
        <v>43.931206000000003</v>
      </c>
      <c r="F204" s="5">
        <f>'FRED Graph'!B214</f>
        <v>0.11</v>
      </c>
      <c r="G204" s="9">
        <f t="shared" si="51"/>
        <v>1.1000000000000001E-3</v>
      </c>
      <c r="H204" s="10">
        <f t="shared" si="40"/>
        <v>0.17236776809928211</v>
      </c>
      <c r="I204" s="10">
        <f t="shared" si="41"/>
        <v>-7.4159786435409989E-4</v>
      </c>
      <c r="J204" s="10">
        <f t="shared" si="42"/>
        <v>5.4480321759138958E-2</v>
      </c>
      <c r="K204" s="10">
        <f t="shared" si="42"/>
        <v>1.3555570228982641E-2</v>
      </c>
      <c r="L204" s="10">
        <f t="shared" si="43"/>
        <v>0.10186776809928212</v>
      </c>
      <c r="M204" s="10">
        <f t="shared" si="44"/>
        <v>-7.1241597864354092E-2</v>
      </c>
      <c r="N204" s="10">
        <f t="shared" si="45"/>
        <v>-1.6019678240861035E-2</v>
      </c>
      <c r="O204" s="10">
        <f t="shared" si="46"/>
        <v>-5.6944429771017352E-2</v>
      </c>
      <c r="Y204" s="7">
        <f t="shared" si="36"/>
        <v>0.17236776809928211</v>
      </c>
      <c r="Z204" s="7">
        <f t="shared" si="37"/>
        <v>-7.4159786435409989E-4</v>
      </c>
      <c r="AA204" s="7">
        <f t="shared" si="38"/>
        <v>5.4480321759138958E-2</v>
      </c>
      <c r="AB204" s="7">
        <f t="shared" si="39"/>
        <v>1.3555570228982641E-2</v>
      </c>
      <c r="AC204" s="7">
        <f t="shared" si="47"/>
        <v>0.12146776809928211</v>
      </c>
      <c r="AD204" s="7">
        <f t="shared" si="48"/>
        <v>-5.16415978643541E-2</v>
      </c>
      <c r="AE204" s="7">
        <f t="shared" si="49"/>
        <v>3.5803217591389574E-3</v>
      </c>
      <c r="AF204" s="7">
        <f t="shared" si="50"/>
        <v>-3.7344429771017359E-2</v>
      </c>
    </row>
    <row r="205" spans="1:32" x14ac:dyDescent="0.3">
      <c r="A205" s="1">
        <v>40878</v>
      </c>
      <c r="B205">
        <f>AEP!F205</f>
        <v>26.818434</v>
      </c>
      <c r="C205">
        <f>DFSVX!F205</f>
        <v>12.205913000000001</v>
      </c>
      <c r="D205">
        <f>DFLVX!F205</f>
        <v>11.96396</v>
      </c>
      <c r="E205">
        <f>FSAGX!F205</f>
        <v>37.223415000000003</v>
      </c>
      <c r="F205" s="5">
        <f>'FRED Graph'!B215</f>
        <v>0.12</v>
      </c>
      <c r="G205" s="9">
        <f t="shared" si="51"/>
        <v>1.1999999999999999E-3</v>
      </c>
      <c r="H205" s="10">
        <f t="shared" si="40"/>
        <v>0.2071719382844347</v>
      </c>
      <c r="I205" s="10">
        <f t="shared" si="41"/>
        <v>-8.8718166875512816E-2</v>
      </c>
      <c r="J205" s="10">
        <f t="shared" si="42"/>
        <v>-3.3062362513600112E-2</v>
      </c>
      <c r="K205" s="10">
        <f t="shared" si="42"/>
        <v>-0.10659855165598314</v>
      </c>
      <c r="L205" s="10">
        <f t="shared" si="43"/>
        <v>0.13667193828443469</v>
      </c>
      <c r="M205" s="10">
        <f t="shared" si="44"/>
        <v>-0.15921816687551282</v>
      </c>
      <c r="N205" s="10">
        <f t="shared" si="45"/>
        <v>-0.1035623625136001</v>
      </c>
      <c r="O205" s="10">
        <f t="shared" si="46"/>
        <v>-0.17709855165598315</v>
      </c>
      <c r="Y205" s="7">
        <f t="shared" si="36"/>
        <v>0.2071719382844347</v>
      </c>
      <c r="Z205" s="7">
        <f t="shared" si="37"/>
        <v>-8.8718166875512816E-2</v>
      </c>
      <c r="AA205" s="7">
        <f t="shared" si="38"/>
        <v>-3.3062362513600112E-2</v>
      </c>
      <c r="AB205" s="7">
        <f t="shared" si="39"/>
        <v>-0.10659855165598314</v>
      </c>
      <c r="AC205" s="7">
        <f t="shared" si="47"/>
        <v>0.1562719382844347</v>
      </c>
      <c r="AD205" s="7">
        <f t="shared" si="48"/>
        <v>-0.13961816687551282</v>
      </c>
      <c r="AE205" s="7">
        <f t="shared" si="49"/>
        <v>-8.3962362513600119E-2</v>
      </c>
      <c r="AF205" s="7">
        <f t="shared" si="50"/>
        <v>-0.15749855165598314</v>
      </c>
    </row>
    <row r="206" spans="1:32" x14ac:dyDescent="0.3">
      <c r="A206" s="1">
        <v>40909</v>
      </c>
      <c r="B206">
        <f>AEP!F206</f>
        <v>25.682324999999999</v>
      </c>
      <c r="C206">
        <f>DFSVX!F206</f>
        <v>13.342533</v>
      </c>
      <c r="D206">
        <f>DFLVX!F206</f>
        <v>12.648952</v>
      </c>
      <c r="E206">
        <f>FSAGX!F206</f>
        <v>41.745224</v>
      </c>
      <c r="F206" s="5">
        <f>'FRED Graph'!B216</f>
        <v>0.12</v>
      </c>
      <c r="G206" s="9">
        <f t="shared" si="51"/>
        <v>1.1999999999999999E-3</v>
      </c>
      <c r="H206" s="10">
        <f t="shared" si="40"/>
        <v>0.16575244936777955</v>
      </c>
      <c r="I206" s="10">
        <f t="shared" si="41"/>
        <v>-1.032390755569192E-2</v>
      </c>
      <c r="J206" s="10">
        <f t="shared" si="42"/>
        <v>-1.5240589649609218E-2</v>
      </c>
      <c r="K206" s="10">
        <f t="shared" si="42"/>
        <v>4.5862103677511562E-2</v>
      </c>
      <c r="L206" s="10">
        <f t="shared" si="43"/>
        <v>9.525244936777956E-2</v>
      </c>
      <c r="M206" s="10">
        <f t="shared" si="44"/>
        <v>-8.082390755569191E-2</v>
      </c>
      <c r="N206" s="10">
        <f t="shared" si="45"/>
        <v>-8.5740589649609206E-2</v>
      </c>
      <c r="O206" s="10">
        <f t="shared" si="46"/>
        <v>-2.4637896322488431E-2</v>
      </c>
      <c r="Y206" s="7">
        <f t="shared" ref="Y206:Y269" si="52">(B206-B194)/B194</f>
        <v>0.16575244936777955</v>
      </c>
      <c r="Z206" s="7">
        <f t="shared" ref="Z206:Z269" si="53">(C206-C194)/C194</f>
        <v>-1.032390755569192E-2</v>
      </c>
      <c r="AA206" s="7">
        <f t="shared" ref="AA206:AA269" si="54">(D206-D194)/D194</f>
        <v>-1.5240589649609218E-2</v>
      </c>
      <c r="AB206" s="7">
        <f t="shared" ref="AB206:AB269" si="55">(E206-E194)/E194</f>
        <v>4.5862103677511562E-2</v>
      </c>
      <c r="AC206" s="7">
        <f t="shared" si="47"/>
        <v>0.11485244936777955</v>
      </c>
      <c r="AD206" s="7">
        <f t="shared" si="48"/>
        <v>-6.1223907555691917E-2</v>
      </c>
      <c r="AE206" s="7">
        <f t="shared" si="49"/>
        <v>-6.6140589649609213E-2</v>
      </c>
      <c r="AF206" s="7">
        <f t="shared" si="50"/>
        <v>-5.0378963224884388E-3</v>
      </c>
    </row>
    <row r="207" spans="1:32" x14ac:dyDescent="0.3">
      <c r="A207" s="1">
        <v>40940</v>
      </c>
      <c r="B207">
        <f>AEP!F207</f>
        <v>24.416385999999999</v>
      </c>
      <c r="C207">
        <f>DFSVX!F207</f>
        <v>13.766192</v>
      </c>
      <c r="D207">
        <f>DFLVX!F207</f>
        <v>13.379303999999999</v>
      </c>
      <c r="E207">
        <f>FSAGX!F207</f>
        <v>41.013474000000002</v>
      </c>
      <c r="F207" s="5">
        <f>'FRED Graph'!B217</f>
        <v>0.16</v>
      </c>
      <c r="G207" s="9">
        <f t="shared" si="51"/>
        <v>1.6000000000000001E-3</v>
      </c>
      <c r="H207" s="10">
        <f t="shared" ref="H207:H270" si="56">(B207-B195)/B195</f>
        <v>0.10519251211319994</v>
      </c>
      <c r="I207" s="10">
        <f t="shared" ref="I207:I270" si="57">(C207-C195)/C195</f>
        <v>-3.9206406448268685E-2</v>
      </c>
      <c r="J207" s="10">
        <f t="shared" ref="J207:K270" si="58">(D207-D195)/D195</f>
        <v>-1.167502982303853E-2</v>
      </c>
      <c r="K207" s="10">
        <f t="shared" si="58"/>
        <v>-5.9962440188558161E-2</v>
      </c>
      <c r="L207" s="10">
        <f t="shared" ref="L207:L270" si="59">H207-$G$2</f>
        <v>3.4692512113199944E-2</v>
      </c>
      <c r="M207" s="10">
        <f t="shared" ref="M207:M270" si="60">I207-$G$2</f>
        <v>-0.10970640644826868</v>
      </c>
      <c r="N207" s="10">
        <f t="shared" ref="N207:N270" si="61">J207-$G$2</f>
        <v>-8.2175029823038523E-2</v>
      </c>
      <c r="O207" s="10">
        <f t="shared" ref="O207:O270" si="62">K207-$G$2</f>
        <v>-0.13046244018855815</v>
      </c>
      <c r="Y207" s="7">
        <f t="shared" si="52"/>
        <v>0.10519251211319994</v>
      </c>
      <c r="Z207" s="7">
        <f t="shared" si="53"/>
        <v>-3.9206406448268685E-2</v>
      </c>
      <c r="AA207" s="7">
        <f t="shared" si="54"/>
        <v>-1.167502982303853E-2</v>
      </c>
      <c r="AB207" s="7">
        <f t="shared" si="55"/>
        <v>-5.9962440188558161E-2</v>
      </c>
      <c r="AC207" s="7">
        <f t="shared" ref="AC207:AC270" si="63">Y207-$F$14/100</f>
        <v>5.4292512113199937E-2</v>
      </c>
      <c r="AD207" s="7">
        <f t="shared" ref="AD207:AD270" si="64">Z207-$F$14/100</f>
        <v>-9.0106406448268686E-2</v>
      </c>
      <c r="AE207" s="7">
        <f t="shared" ref="AE207:AE270" si="65">AA207-$F$14/100</f>
        <v>-6.257502982303853E-2</v>
      </c>
      <c r="AF207" s="7">
        <f t="shared" ref="AF207:AF270" si="66">AB207-$F$14/100</f>
        <v>-0.11086244018855816</v>
      </c>
    </row>
    <row r="208" spans="1:32" x14ac:dyDescent="0.3">
      <c r="A208" s="1">
        <v>40969</v>
      </c>
      <c r="B208">
        <f>AEP!F208</f>
        <v>25.344819999999999</v>
      </c>
      <c r="C208">
        <f>DFSVX!F208</f>
        <v>14.082599</v>
      </c>
      <c r="D208">
        <f>DFLVX!F208</f>
        <v>13.580776</v>
      </c>
      <c r="E208">
        <f>FSAGX!F208</f>
        <v>36.382061</v>
      </c>
      <c r="F208" s="5">
        <f>'FRED Graph'!B218</f>
        <v>0.19</v>
      </c>
      <c r="G208" s="9">
        <f t="shared" si="51"/>
        <v>1.9E-3</v>
      </c>
      <c r="H208" s="10">
        <f t="shared" si="56"/>
        <v>0.15320195428282765</v>
      </c>
      <c r="I208" s="10">
        <f t="shared" si="57"/>
        <v>-3.6907997509006432E-2</v>
      </c>
      <c r="J208" s="10">
        <f t="shared" si="58"/>
        <v>1.3778112370586427E-3</v>
      </c>
      <c r="K208" s="10">
        <f t="shared" si="58"/>
        <v>-0.17667899994116235</v>
      </c>
      <c r="L208" s="10">
        <f t="shared" si="59"/>
        <v>8.2701954282827658E-2</v>
      </c>
      <c r="M208" s="10">
        <f t="shared" si="60"/>
        <v>-0.10740799750900643</v>
      </c>
      <c r="N208" s="10">
        <f t="shared" si="61"/>
        <v>-6.912218876294135E-2</v>
      </c>
      <c r="O208" s="10">
        <f t="shared" si="62"/>
        <v>-0.24717899994116233</v>
      </c>
      <c r="Y208" s="7">
        <f t="shared" si="52"/>
        <v>0.15320195428282765</v>
      </c>
      <c r="Z208" s="7">
        <f t="shared" si="53"/>
        <v>-3.6907997509006432E-2</v>
      </c>
      <c r="AA208" s="7">
        <f t="shared" si="54"/>
        <v>1.3778112370586427E-3</v>
      </c>
      <c r="AB208" s="7">
        <f t="shared" si="55"/>
        <v>-0.17667899994116235</v>
      </c>
      <c r="AC208" s="7">
        <f t="shared" si="63"/>
        <v>0.10230195428282765</v>
      </c>
      <c r="AD208" s="7">
        <f t="shared" si="64"/>
        <v>-8.7807997509006433E-2</v>
      </c>
      <c r="AE208" s="7">
        <f t="shared" si="65"/>
        <v>-4.9522188762941358E-2</v>
      </c>
      <c r="AF208" s="7">
        <f t="shared" si="66"/>
        <v>-0.22757899994116235</v>
      </c>
    </row>
    <row r="209" spans="1:32" x14ac:dyDescent="0.3">
      <c r="A209" s="1">
        <v>41000</v>
      </c>
      <c r="B209">
        <f>AEP!F209</f>
        <v>25.515613999999999</v>
      </c>
      <c r="C209">
        <f>DFSVX!F209</f>
        <v>13.857365</v>
      </c>
      <c r="D209">
        <f>DFLVX!F209</f>
        <v>13.340676999999999</v>
      </c>
      <c r="E209">
        <f>FSAGX!F209</f>
        <v>34.088661000000002</v>
      </c>
      <c r="F209" s="5">
        <f>'FRED Graph'!B219</f>
        <v>0.18</v>
      </c>
      <c r="G209" s="9">
        <f t="shared" si="51"/>
        <v>1.8E-3</v>
      </c>
      <c r="H209" s="10">
        <f t="shared" si="56"/>
        <v>0.11832780552723336</v>
      </c>
      <c r="I209" s="10">
        <f t="shared" si="57"/>
        <v>-6.4086218777608728E-2</v>
      </c>
      <c r="J209" s="10">
        <f t="shared" si="58"/>
        <v>-4.3017549694028719E-2</v>
      </c>
      <c r="K209" s="10">
        <f t="shared" si="58"/>
        <v>-0.2372162809724955</v>
      </c>
      <c r="L209" s="10">
        <f t="shared" si="59"/>
        <v>4.7827805527233369E-2</v>
      </c>
      <c r="M209" s="10">
        <f t="shared" si="60"/>
        <v>-0.13458621877760873</v>
      </c>
      <c r="N209" s="10">
        <f t="shared" si="61"/>
        <v>-0.11351754969402872</v>
      </c>
      <c r="O209" s="10">
        <f t="shared" si="62"/>
        <v>-0.30771628097249548</v>
      </c>
      <c r="Y209" s="7">
        <f t="shared" si="52"/>
        <v>0.11832780552723336</v>
      </c>
      <c r="Z209" s="7">
        <f t="shared" si="53"/>
        <v>-6.4086218777608728E-2</v>
      </c>
      <c r="AA209" s="7">
        <f t="shared" si="54"/>
        <v>-4.3017549694028719E-2</v>
      </c>
      <c r="AB209" s="7">
        <f t="shared" si="55"/>
        <v>-0.2372162809724955</v>
      </c>
      <c r="AC209" s="7">
        <f t="shared" si="63"/>
        <v>6.7427805527233362E-2</v>
      </c>
      <c r="AD209" s="7">
        <f t="shared" si="64"/>
        <v>-0.11498621877760873</v>
      </c>
      <c r="AE209" s="7">
        <f t="shared" si="65"/>
        <v>-9.3917549694028712E-2</v>
      </c>
      <c r="AF209" s="7">
        <f t="shared" si="66"/>
        <v>-0.28811628097249553</v>
      </c>
    </row>
    <row r="210" spans="1:32" x14ac:dyDescent="0.3">
      <c r="A210" s="1">
        <v>41030</v>
      </c>
      <c r="B210">
        <f>AEP!F210</f>
        <v>25.298824</v>
      </c>
      <c r="C210">
        <f>DFSVX!F210</f>
        <v>12.870615000000001</v>
      </c>
      <c r="D210">
        <f>DFLVX!F210</f>
        <v>12.393183000000001</v>
      </c>
      <c r="E210">
        <f>FSAGX!F210</f>
        <v>31.688179000000002</v>
      </c>
      <c r="F210" s="5">
        <f>'FRED Graph'!B220</f>
        <v>0.19</v>
      </c>
      <c r="G210" s="9">
        <f t="shared" si="51"/>
        <v>1.9E-3</v>
      </c>
      <c r="H210" s="10">
        <f t="shared" si="56"/>
        <v>5.8900145050949967E-2</v>
      </c>
      <c r="I210" s="10">
        <f t="shared" si="57"/>
        <v>-0.10269965738987033</v>
      </c>
      <c r="J210" s="10">
        <f t="shared" si="58"/>
        <v>-9.814757313007004E-2</v>
      </c>
      <c r="K210" s="10">
        <f t="shared" si="58"/>
        <v>-0.27167190208905878</v>
      </c>
      <c r="L210" s="10">
        <f t="shared" si="59"/>
        <v>-1.1599854949050026E-2</v>
      </c>
      <c r="M210" s="10">
        <f t="shared" si="60"/>
        <v>-0.17319965738987031</v>
      </c>
      <c r="N210" s="10">
        <f t="shared" si="61"/>
        <v>-0.16864757313007003</v>
      </c>
      <c r="O210" s="10">
        <f t="shared" si="62"/>
        <v>-0.34217190208905879</v>
      </c>
      <c r="Y210" s="7">
        <f t="shared" si="52"/>
        <v>5.8900145050949967E-2</v>
      </c>
      <c r="Z210" s="7">
        <f t="shared" si="53"/>
        <v>-0.10269965738987033</v>
      </c>
      <c r="AA210" s="7">
        <f t="shared" si="54"/>
        <v>-9.814757313007004E-2</v>
      </c>
      <c r="AB210" s="7">
        <f t="shared" si="55"/>
        <v>-0.27167190208905878</v>
      </c>
      <c r="AC210" s="7">
        <f t="shared" si="63"/>
        <v>8.0001450509499666E-3</v>
      </c>
      <c r="AD210" s="7">
        <f t="shared" si="64"/>
        <v>-0.15359965738987033</v>
      </c>
      <c r="AE210" s="7">
        <f t="shared" si="65"/>
        <v>-0.14904757313007005</v>
      </c>
      <c r="AF210" s="7">
        <f t="shared" si="66"/>
        <v>-0.32257190208905878</v>
      </c>
    </row>
    <row r="211" spans="1:32" x14ac:dyDescent="0.3">
      <c r="A211" s="1">
        <v>41061</v>
      </c>
      <c r="B211">
        <f>AEP!F211</f>
        <v>26.535740000000001</v>
      </c>
      <c r="C211">
        <f>DFSVX!F211</f>
        <v>13.396167</v>
      </c>
      <c r="D211">
        <f>DFLVX!F211</f>
        <v>12.993261</v>
      </c>
      <c r="E211">
        <f>FSAGX!F211</f>
        <v>32.054049999999997</v>
      </c>
      <c r="F211" s="5">
        <f>'FRED Graph'!B221</f>
        <v>0.19</v>
      </c>
      <c r="G211" s="9">
        <f t="shared" si="51"/>
        <v>1.9E-3</v>
      </c>
      <c r="H211" s="10">
        <f t="shared" si="56"/>
        <v>0.1118710535387331</v>
      </c>
      <c r="I211" s="10">
        <f t="shared" si="57"/>
        <v>-4.7918470542306579E-2</v>
      </c>
      <c r="J211" s="10">
        <f t="shared" si="58"/>
        <v>-3.3545480950785272E-2</v>
      </c>
      <c r="K211" s="10">
        <f t="shared" si="58"/>
        <v>-0.22279642617845674</v>
      </c>
      <c r="L211" s="10">
        <f t="shared" si="59"/>
        <v>4.1371053538733105E-2</v>
      </c>
      <c r="M211" s="10">
        <f t="shared" si="60"/>
        <v>-0.11841847054230657</v>
      </c>
      <c r="N211" s="10">
        <f t="shared" si="61"/>
        <v>-0.10404548095078527</v>
      </c>
      <c r="O211" s="10">
        <f t="shared" si="62"/>
        <v>-0.29329642617845675</v>
      </c>
      <c r="Y211" s="7">
        <f t="shared" si="52"/>
        <v>0.1118710535387331</v>
      </c>
      <c r="Z211" s="7">
        <f t="shared" si="53"/>
        <v>-4.7918470542306579E-2</v>
      </c>
      <c r="AA211" s="7">
        <f t="shared" si="54"/>
        <v>-3.3545480950785272E-2</v>
      </c>
      <c r="AB211" s="7">
        <f t="shared" si="55"/>
        <v>-0.22279642617845674</v>
      </c>
      <c r="AC211" s="7">
        <f t="shared" si="63"/>
        <v>6.0971053538733097E-2</v>
      </c>
      <c r="AD211" s="7">
        <f t="shared" si="64"/>
        <v>-9.881847054230658E-2</v>
      </c>
      <c r="AE211" s="7">
        <f t="shared" si="65"/>
        <v>-8.4445480950785273E-2</v>
      </c>
      <c r="AF211" s="7">
        <f t="shared" si="66"/>
        <v>-0.27369642617845674</v>
      </c>
    </row>
    <row r="212" spans="1:32" x14ac:dyDescent="0.3">
      <c r="A212" s="1">
        <v>41091</v>
      </c>
      <c r="B212">
        <f>AEP!F212</f>
        <v>28.091982000000002</v>
      </c>
      <c r="C212">
        <f>DFSVX!F212</f>
        <v>13.402670000000001</v>
      </c>
      <c r="D212">
        <f>DFLVX!F212</f>
        <v>13.185753</v>
      </c>
      <c r="E212">
        <f>FSAGX!F212</f>
        <v>31.179525000000002</v>
      </c>
      <c r="F212" s="5">
        <f>'FRED Graph'!B222</f>
        <v>0.19</v>
      </c>
      <c r="G212" s="9">
        <f t="shared" si="51"/>
        <v>1.9E-3</v>
      </c>
      <c r="H212" s="10">
        <f t="shared" si="56"/>
        <v>0.20326475079656586</v>
      </c>
      <c r="I212" s="10">
        <f t="shared" si="57"/>
        <v>-2.0201969250266735E-2</v>
      </c>
      <c r="J212" s="10">
        <f t="shared" si="58"/>
        <v>2.4083499551324033E-2</v>
      </c>
      <c r="K212" s="10">
        <f t="shared" si="58"/>
        <v>-0.27765566826996496</v>
      </c>
      <c r="L212" s="10">
        <f t="shared" si="59"/>
        <v>0.13276475079656586</v>
      </c>
      <c r="M212" s="10">
        <f t="shared" si="60"/>
        <v>-9.0701969250266731E-2</v>
      </c>
      <c r="N212" s="10">
        <f t="shared" si="61"/>
        <v>-4.6416500448675957E-2</v>
      </c>
      <c r="O212" s="10">
        <f t="shared" si="62"/>
        <v>-0.34815566826996497</v>
      </c>
      <c r="Y212" s="7">
        <f t="shared" si="52"/>
        <v>0.20326475079656586</v>
      </c>
      <c r="Z212" s="7">
        <f t="shared" si="53"/>
        <v>-2.0201969250266735E-2</v>
      </c>
      <c r="AA212" s="7">
        <f t="shared" si="54"/>
        <v>2.4083499551324033E-2</v>
      </c>
      <c r="AB212" s="7">
        <f t="shared" si="55"/>
        <v>-0.27765566826996496</v>
      </c>
      <c r="AC212" s="7">
        <f t="shared" si="63"/>
        <v>0.15236475079656586</v>
      </c>
      <c r="AD212" s="7">
        <f t="shared" si="64"/>
        <v>-7.1101969250266739E-2</v>
      </c>
      <c r="AE212" s="7">
        <f t="shared" si="65"/>
        <v>-2.6816500448675968E-2</v>
      </c>
      <c r="AF212" s="7">
        <f t="shared" si="66"/>
        <v>-0.32855566826996496</v>
      </c>
    </row>
    <row r="213" spans="1:32" x14ac:dyDescent="0.3">
      <c r="A213" s="1">
        <v>41122</v>
      </c>
      <c r="B213">
        <f>AEP!F213</f>
        <v>28.590769000000002</v>
      </c>
      <c r="C213">
        <f>DFSVX!F213</f>
        <v>13.967385999999999</v>
      </c>
      <c r="D213">
        <f>DFLVX!F213</f>
        <v>13.706327</v>
      </c>
      <c r="E213">
        <f>FSAGX!F213</f>
        <v>34.240364</v>
      </c>
      <c r="F213" s="5">
        <f>'FRED Graph'!B223</f>
        <v>0.18</v>
      </c>
      <c r="G213" s="9">
        <f t="shared" si="51"/>
        <v>1.8E-3</v>
      </c>
      <c r="H213" s="10">
        <f t="shared" si="56"/>
        <v>0.1685174711755052</v>
      </c>
      <c r="I213" s="10">
        <f t="shared" si="57"/>
        <v>0.14185423926707527</v>
      </c>
      <c r="J213" s="10">
        <f t="shared" si="58"/>
        <v>0.16287240448125351</v>
      </c>
      <c r="K213" s="10">
        <f t="shared" si="58"/>
        <v>-0.26344850432590339</v>
      </c>
      <c r="L213" s="10">
        <f t="shared" si="59"/>
        <v>9.8017471175505202E-2</v>
      </c>
      <c r="M213" s="10">
        <f t="shared" si="60"/>
        <v>7.1354239267075278E-2</v>
      </c>
      <c r="N213" s="10">
        <f t="shared" si="61"/>
        <v>9.2372404481253514E-2</v>
      </c>
      <c r="O213" s="10">
        <f t="shared" si="62"/>
        <v>-0.33394850432590339</v>
      </c>
      <c r="Y213" s="7">
        <f t="shared" si="52"/>
        <v>0.1685174711755052</v>
      </c>
      <c r="Z213" s="7">
        <f t="shared" si="53"/>
        <v>0.14185423926707527</v>
      </c>
      <c r="AA213" s="7">
        <f t="shared" si="54"/>
        <v>0.16287240448125351</v>
      </c>
      <c r="AB213" s="7">
        <f t="shared" si="55"/>
        <v>-0.26344850432590339</v>
      </c>
      <c r="AC213" s="7">
        <f t="shared" si="63"/>
        <v>0.11761747117550519</v>
      </c>
      <c r="AD213" s="7">
        <f t="shared" si="64"/>
        <v>9.0954239267075271E-2</v>
      </c>
      <c r="AE213" s="7">
        <f t="shared" si="65"/>
        <v>0.11197240448125351</v>
      </c>
      <c r="AF213" s="7">
        <f t="shared" si="66"/>
        <v>-0.31434850432590339</v>
      </c>
    </row>
    <row r="214" spans="1:32" x14ac:dyDescent="0.3">
      <c r="A214" s="1">
        <v>41153</v>
      </c>
      <c r="B214">
        <f>AEP!F214</f>
        <v>29.552502</v>
      </c>
      <c r="C214">
        <f>DFSVX!F214</f>
        <v>14.408405999999999</v>
      </c>
      <c r="D214">
        <f>DFLVX!F214</f>
        <v>14.144373999999999</v>
      </c>
      <c r="E214">
        <f>FSAGX!F214</f>
        <v>38.568375000000003</v>
      </c>
      <c r="F214" s="5">
        <f>'FRED Graph'!B224</f>
        <v>0.18</v>
      </c>
      <c r="G214" s="9">
        <f t="shared" si="51"/>
        <v>1.8E-3</v>
      </c>
      <c r="H214" s="10">
        <f t="shared" si="56"/>
        <v>0.21162520532848558</v>
      </c>
      <c r="I214" s="10">
        <f t="shared" si="57"/>
        <v>0.34974685933678973</v>
      </c>
      <c r="J214" s="10">
        <f t="shared" si="58"/>
        <v>0.34092596149452403</v>
      </c>
      <c r="K214" s="10">
        <f t="shared" si="58"/>
        <v>-3.8755463616906592E-2</v>
      </c>
      <c r="L214" s="10">
        <f t="shared" si="59"/>
        <v>0.1411252053284856</v>
      </c>
      <c r="M214" s="10">
        <f t="shared" si="60"/>
        <v>0.27924685933678972</v>
      </c>
      <c r="N214" s="10">
        <f t="shared" si="61"/>
        <v>0.27042596149452403</v>
      </c>
      <c r="O214" s="10">
        <f t="shared" si="62"/>
        <v>-0.10925546361690658</v>
      </c>
      <c r="Y214" s="7">
        <f t="shared" si="52"/>
        <v>0.21162520532848558</v>
      </c>
      <c r="Z214" s="7">
        <f t="shared" si="53"/>
        <v>0.34974685933678973</v>
      </c>
      <c r="AA214" s="7">
        <f t="shared" si="54"/>
        <v>0.34092596149452403</v>
      </c>
      <c r="AB214" s="7">
        <f t="shared" si="55"/>
        <v>-3.8755463616906592E-2</v>
      </c>
      <c r="AC214" s="7">
        <f t="shared" si="63"/>
        <v>0.16072520532848558</v>
      </c>
      <c r="AD214" s="7">
        <f t="shared" si="64"/>
        <v>0.29884685933678973</v>
      </c>
      <c r="AE214" s="7">
        <f t="shared" si="65"/>
        <v>0.29002596149452403</v>
      </c>
      <c r="AF214" s="7">
        <f t="shared" si="66"/>
        <v>-8.96554636169066E-2</v>
      </c>
    </row>
    <row r="215" spans="1:32" x14ac:dyDescent="0.3">
      <c r="A215" s="1">
        <v>41183</v>
      </c>
      <c r="B215">
        <f>AEP!F215</f>
        <v>29.888783</v>
      </c>
      <c r="C215">
        <f>DFSVX!F215</f>
        <v>14.311838</v>
      </c>
      <c r="D215">
        <f>DFLVX!F215</f>
        <v>14.244479999999999</v>
      </c>
      <c r="E215">
        <f>FSAGX!F215</f>
        <v>37.354751999999998</v>
      </c>
      <c r="F215" s="5">
        <f>'FRED Graph'!B225</f>
        <v>0.18</v>
      </c>
      <c r="G215" s="9">
        <f t="shared" si="51"/>
        <v>1.8E-3</v>
      </c>
      <c r="H215" s="10">
        <f t="shared" si="56"/>
        <v>0.18610442525047308</v>
      </c>
      <c r="I215" s="10">
        <f t="shared" si="57"/>
        <v>0.15556884392231893</v>
      </c>
      <c r="J215" s="10">
        <f t="shared" si="58"/>
        <v>0.18135717973332446</v>
      </c>
      <c r="K215" s="10">
        <f t="shared" si="58"/>
        <v>-0.12782459283870945</v>
      </c>
      <c r="L215" s="10">
        <f t="shared" si="59"/>
        <v>0.11560442525047308</v>
      </c>
      <c r="M215" s="10">
        <f t="shared" si="60"/>
        <v>8.5068843922318935E-2</v>
      </c>
      <c r="N215" s="10">
        <f t="shared" si="61"/>
        <v>0.11085717973332447</v>
      </c>
      <c r="O215" s="10">
        <f t="shared" si="62"/>
        <v>-0.19832459283870946</v>
      </c>
      <c r="Y215" s="7">
        <f t="shared" si="52"/>
        <v>0.18610442525047308</v>
      </c>
      <c r="Z215" s="7">
        <f t="shared" si="53"/>
        <v>0.15556884392231893</v>
      </c>
      <c r="AA215" s="7">
        <f t="shared" si="54"/>
        <v>0.18135717973332446</v>
      </c>
      <c r="AB215" s="7">
        <f t="shared" si="55"/>
        <v>-0.12782459283870945</v>
      </c>
      <c r="AC215" s="7">
        <f t="shared" si="63"/>
        <v>0.13520442525047308</v>
      </c>
      <c r="AD215" s="7">
        <f t="shared" si="64"/>
        <v>0.10466884392231893</v>
      </c>
      <c r="AE215" s="7">
        <f t="shared" si="65"/>
        <v>0.13045717973332446</v>
      </c>
      <c r="AF215" s="7">
        <f t="shared" si="66"/>
        <v>-0.17872459283870945</v>
      </c>
    </row>
    <row r="216" spans="1:32" x14ac:dyDescent="0.3">
      <c r="A216" s="1">
        <v>41214</v>
      </c>
      <c r="B216">
        <f>AEP!F216</f>
        <v>28.684891</v>
      </c>
      <c r="C216">
        <f>DFSVX!F216</f>
        <v>14.575773</v>
      </c>
      <c r="D216">
        <f>DFLVX!F216</f>
        <v>14.276357000000001</v>
      </c>
      <c r="E216">
        <f>FSAGX!F216</f>
        <v>34.151130999999999</v>
      </c>
      <c r="F216" s="5">
        <f>'FRED Graph'!B226</f>
        <v>0.18</v>
      </c>
      <c r="G216" s="9">
        <f t="shared" si="51"/>
        <v>1.8E-3</v>
      </c>
      <c r="H216" s="10">
        <f t="shared" si="56"/>
        <v>0.12685439159236542</v>
      </c>
      <c r="I216" s="10">
        <f t="shared" si="57"/>
        <v>0.18494734113137729</v>
      </c>
      <c r="J216" s="10">
        <f t="shared" si="58"/>
        <v>0.19390363357943119</v>
      </c>
      <c r="K216" s="10">
        <f t="shared" si="58"/>
        <v>-0.22262250210021559</v>
      </c>
      <c r="L216" s="10">
        <f t="shared" si="59"/>
        <v>5.6354391592365424E-2</v>
      </c>
      <c r="M216" s="10">
        <f t="shared" si="60"/>
        <v>0.11444734113137729</v>
      </c>
      <c r="N216" s="10">
        <f t="shared" si="61"/>
        <v>0.1234036335794312</v>
      </c>
      <c r="O216" s="10">
        <f t="shared" si="62"/>
        <v>-0.29312250210021557</v>
      </c>
      <c r="Y216" s="7">
        <f t="shared" si="52"/>
        <v>0.12685439159236542</v>
      </c>
      <c r="Z216" s="7">
        <f t="shared" si="53"/>
        <v>0.18494734113137729</v>
      </c>
      <c r="AA216" s="7">
        <f t="shared" si="54"/>
        <v>0.19390363357943119</v>
      </c>
      <c r="AB216" s="7">
        <f t="shared" si="55"/>
        <v>-0.22262250210021559</v>
      </c>
      <c r="AC216" s="7">
        <f t="shared" si="63"/>
        <v>7.5954391592365417E-2</v>
      </c>
      <c r="AD216" s="7">
        <f t="shared" si="64"/>
        <v>0.13404734113137728</v>
      </c>
      <c r="AE216" s="7">
        <f t="shared" si="65"/>
        <v>0.14300363357943119</v>
      </c>
      <c r="AF216" s="7">
        <f t="shared" si="66"/>
        <v>-0.27352250210021556</v>
      </c>
    </row>
    <row r="217" spans="1:32" x14ac:dyDescent="0.3">
      <c r="A217" s="1">
        <v>41244</v>
      </c>
      <c r="B217">
        <f>AEP!F217</f>
        <v>29.019915000000001</v>
      </c>
      <c r="C217">
        <f>DFSVX!F217</f>
        <v>14.117927999999999</v>
      </c>
      <c r="D217">
        <f>DFLVX!F217</f>
        <v>14.601544000000001</v>
      </c>
      <c r="E217">
        <f>FSAGX!F217</f>
        <v>32.999966000000001</v>
      </c>
      <c r="F217" s="5">
        <f>'FRED Graph'!B227</f>
        <v>0.16</v>
      </c>
      <c r="G217" s="9">
        <f t="shared" si="51"/>
        <v>1.6000000000000001E-3</v>
      </c>
      <c r="H217" s="10">
        <f t="shared" si="56"/>
        <v>8.2088350125141582E-2</v>
      </c>
      <c r="I217" s="10">
        <f t="shared" si="57"/>
        <v>0.15664661873306801</v>
      </c>
      <c r="J217" s="10">
        <f t="shared" si="58"/>
        <v>0.22046078388760915</v>
      </c>
      <c r="K217" s="10">
        <f t="shared" si="58"/>
        <v>-0.11346215816039452</v>
      </c>
      <c r="L217" s="10">
        <f t="shared" si="59"/>
        <v>1.1588350125141589E-2</v>
      </c>
      <c r="M217" s="10">
        <f t="shared" si="60"/>
        <v>8.6146618733068017E-2</v>
      </c>
      <c r="N217" s="10">
        <f t="shared" si="61"/>
        <v>0.14996078388760914</v>
      </c>
      <c r="O217" s="10">
        <f t="shared" si="62"/>
        <v>-0.18396215816039452</v>
      </c>
      <c r="Y217" s="7">
        <f t="shared" si="52"/>
        <v>8.2088350125141582E-2</v>
      </c>
      <c r="Z217" s="7">
        <f t="shared" si="53"/>
        <v>0.15664661873306801</v>
      </c>
      <c r="AA217" s="7">
        <f t="shared" si="54"/>
        <v>0.22046078388760915</v>
      </c>
      <c r="AB217" s="7">
        <f t="shared" si="55"/>
        <v>-0.11346215816039452</v>
      </c>
      <c r="AC217" s="7">
        <f t="shared" si="63"/>
        <v>3.1188350125141581E-2</v>
      </c>
      <c r="AD217" s="7">
        <f t="shared" si="64"/>
        <v>0.10574661873306801</v>
      </c>
      <c r="AE217" s="7">
        <f t="shared" si="65"/>
        <v>0.16956078388760915</v>
      </c>
      <c r="AF217" s="7">
        <f t="shared" si="66"/>
        <v>-0.16436215816039451</v>
      </c>
    </row>
    <row r="218" spans="1:32" x14ac:dyDescent="0.3">
      <c r="A218" s="1">
        <v>41275</v>
      </c>
      <c r="B218">
        <f>AEP!F218</f>
        <v>30.794564999999999</v>
      </c>
      <c r="C218">
        <f>DFSVX!F218</f>
        <v>16.103415999999999</v>
      </c>
      <c r="D218">
        <f>DFLVX!F218</f>
        <v>15.729692</v>
      </c>
      <c r="E218">
        <f>FSAGX!F218</f>
        <v>30.492397</v>
      </c>
      <c r="F218" s="5">
        <f>'FRED Graph'!B228</f>
        <v>0.15</v>
      </c>
      <c r="G218" s="9">
        <f t="shared" si="51"/>
        <v>1.5E-3</v>
      </c>
      <c r="H218" s="10">
        <f t="shared" si="56"/>
        <v>0.19905674427840939</v>
      </c>
      <c r="I218" s="10">
        <f t="shared" si="57"/>
        <v>0.20692345299052287</v>
      </c>
      <c r="J218" s="10">
        <f t="shared" si="58"/>
        <v>0.24355693657466648</v>
      </c>
      <c r="K218" s="10">
        <f t="shared" si="58"/>
        <v>-0.26955962674915818</v>
      </c>
      <c r="L218" s="10">
        <f t="shared" si="59"/>
        <v>0.12855674427840941</v>
      </c>
      <c r="M218" s="10">
        <f t="shared" si="60"/>
        <v>0.13642345299052289</v>
      </c>
      <c r="N218" s="10">
        <f t="shared" si="61"/>
        <v>0.17305693657466648</v>
      </c>
      <c r="O218" s="10">
        <f t="shared" si="62"/>
        <v>-0.34005962674915818</v>
      </c>
      <c r="Y218" s="7">
        <f t="shared" si="52"/>
        <v>0.19905674427840939</v>
      </c>
      <c r="Z218" s="7">
        <f t="shared" si="53"/>
        <v>0.20692345299052287</v>
      </c>
      <c r="AA218" s="7">
        <f t="shared" si="54"/>
        <v>0.24355693657466648</v>
      </c>
      <c r="AB218" s="7">
        <f t="shared" si="55"/>
        <v>-0.26955962674915818</v>
      </c>
      <c r="AC218" s="7">
        <f t="shared" si="63"/>
        <v>0.14815674427840939</v>
      </c>
      <c r="AD218" s="7">
        <f t="shared" si="64"/>
        <v>0.15602345299052287</v>
      </c>
      <c r="AE218" s="7">
        <f t="shared" si="65"/>
        <v>0.19265693657466648</v>
      </c>
      <c r="AF218" s="7">
        <f t="shared" si="66"/>
        <v>-0.32045962674915818</v>
      </c>
    </row>
    <row r="219" spans="1:32" x14ac:dyDescent="0.3">
      <c r="A219" s="1">
        <v>41306</v>
      </c>
      <c r="B219">
        <f>AEP!F219</f>
        <v>31.814478000000001</v>
      </c>
      <c r="C219">
        <f>DFSVX!F219</f>
        <v>16.385939</v>
      </c>
      <c r="D219">
        <f>DFLVX!F219</f>
        <v>15.928794</v>
      </c>
      <c r="E219">
        <f>FSAGX!F219</f>
        <v>27.413712</v>
      </c>
      <c r="F219" s="5">
        <f>'FRED Graph'!B229</f>
        <v>0.16</v>
      </c>
      <c r="G219" s="9">
        <f t="shared" si="51"/>
        <v>1.6000000000000001E-3</v>
      </c>
      <c r="H219" s="10">
        <f t="shared" si="56"/>
        <v>0.30299701192469691</v>
      </c>
      <c r="I219" s="10">
        <f t="shared" si="57"/>
        <v>0.1903029537870749</v>
      </c>
      <c r="J219" s="10">
        <f t="shared" si="58"/>
        <v>0.19055475531462626</v>
      </c>
      <c r="K219" s="10">
        <f t="shared" si="58"/>
        <v>-0.33159253956394918</v>
      </c>
      <c r="L219" s="10">
        <f t="shared" si="59"/>
        <v>0.23249701192469691</v>
      </c>
      <c r="M219" s="10">
        <f t="shared" si="60"/>
        <v>0.11980295378707491</v>
      </c>
      <c r="N219" s="10">
        <f t="shared" si="61"/>
        <v>0.12005475531462627</v>
      </c>
      <c r="O219" s="10">
        <f t="shared" si="62"/>
        <v>-0.40209253956394919</v>
      </c>
      <c r="Y219" s="7">
        <f t="shared" si="52"/>
        <v>0.30299701192469691</v>
      </c>
      <c r="Z219" s="7">
        <f t="shared" si="53"/>
        <v>0.1903029537870749</v>
      </c>
      <c r="AA219" s="7">
        <f t="shared" si="54"/>
        <v>0.19055475531462626</v>
      </c>
      <c r="AB219" s="7">
        <f t="shared" si="55"/>
        <v>-0.33159253956394918</v>
      </c>
      <c r="AC219" s="7">
        <f t="shared" si="63"/>
        <v>0.25209701192469691</v>
      </c>
      <c r="AD219" s="7">
        <f t="shared" si="64"/>
        <v>0.1394029537870749</v>
      </c>
      <c r="AE219" s="7">
        <f t="shared" si="65"/>
        <v>0.13965475531462626</v>
      </c>
      <c r="AF219" s="7">
        <f t="shared" si="66"/>
        <v>-0.38249253956394919</v>
      </c>
    </row>
    <row r="220" spans="1:32" x14ac:dyDescent="0.3">
      <c r="A220" s="1">
        <v>41334</v>
      </c>
      <c r="B220">
        <f>AEP!F220</f>
        <v>33.415740999999997</v>
      </c>
      <c r="C220">
        <f>DFSVX!F220</f>
        <v>17.187349000000001</v>
      </c>
      <c r="D220">
        <f>DFLVX!F220</f>
        <v>16.641739000000001</v>
      </c>
      <c r="E220">
        <f>FSAGX!F220</f>
        <v>27.369088999999999</v>
      </c>
      <c r="F220" s="5">
        <f>'FRED Graph'!B230</f>
        <v>0.15</v>
      </c>
      <c r="G220" s="9">
        <f t="shared" si="51"/>
        <v>1.5E-3</v>
      </c>
      <c r="H220" s="10">
        <f t="shared" si="56"/>
        <v>0.31844459735756653</v>
      </c>
      <c r="I220" s="10">
        <f t="shared" si="57"/>
        <v>0.22046711690079374</v>
      </c>
      <c r="J220" s="10">
        <f t="shared" si="58"/>
        <v>0.22538940337429916</v>
      </c>
      <c r="K220" s="10">
        <f t="shared" si="58"/>
        <v>-0.24773121016975924</v>
      </c>
      <c r="L220" s="10">
        <f t="shared" si="59"/>
        <v>0.24794459735756652</v>
      </c>
      <c r="M220" s="10">
        <f t="shared" si="60"/>
        <v>0.14996711690079373</v>
      </c>
      <c r="N220" s="10">
        <f t="shared" si="61"/>
        <v>0.15488940337429918</v>
      </c>
      <c r="O220" s="10">
        <f t="shared" si="62"/>
        <v>-0.31823121016975925</v>
      </c>
      <c r="Y220" s="7">
        <f t="shared" si="52"/>
        <v>0.31844459735756653</v>
      </c>
      <c r="Z220" s="7">
        <f t="shared" si="53"/>
        <v>0.22046711690079374</v>
      </c>
      <c r="AA220" s="7">
        <f t="shared" si="54"/>
        <v>0.22538940337429916</v>
      </c>
      <c r="AB220" s="7">
        <f t="shared" si="55"/>
        <v>-0.24773121016975924</v>
      </c>
      <c r="AC220" s="7">
        <f t="shared" si="63"/>
        <v>0.26754459735756653</v>
      </c>
      <c r="AD220" s="7">
        <f t="shared" si="64"/>
        <v>0.16956711690079374</v>
      </c>
      <c r="AE220" s="7">
        <f t="shared" si="65"/>
        <v>0.17448940337429916</v>
      </c>
      <c r="AF220" s="7">
        <f t="shared" si="66"/>
        <v>-0.29863121016975924</v>
      </c>
    </row>
    <row r="221" spans="1:32" x14ac:dyDescent="0.3">
      <c r="A221" s="1">
        <v>41365</v>
      </c>
      <c r="B221">
        <f>AEP!F221</f>
        <v>35.339745000000001</v>
      </c>
      <c r="C221">
        <f>DFSVX!F221</f>
        <v>16.999420000000001</v>
      </c>
      <c r="D221">
        <f>DFLVX!F221</f>
        <v>16.862307000000001</v>
      </c>
      <c r="E221">
        <f>FSAGX!F221</f>
        <v>22.211169999999999</v>
      </c>
      <c r="F221" s="5">
        <f>'FRED Graph'!B231</f>
        <v>0.12</v>
      </c>
      <c r="G221" s="9">
        <f t="shared" si="51"/>
        <v>1.1999999999999999E-3</v>
      </c>
      <c r="H221" s="10">
        <f t="shared" si="56"/>
        <v>0.38502428356221419</v>
      </c>
      <c r="I221" s="10">
        <f t="shared" si="57"/>
        <v>0.22674260221910883</v>
      </c>
      <c r="J221" s="10">
        <f t="shared" si="58"/>
        <v>0.26397685814595478</v>
      </c>
      <c r="K221" s="10">
        <f t="shared" si="58"/>
        <v>-0.34842937949366803</v>
      </c>
      <c r="L221" s="10">
        <f t="shared" si="59"/>
        <v>0.31452428356221418</v>
      </c>
      <c r="M221" s="10">
        <f t="shared" si="60"/>
        <v>0.15624260221910885</v>
      </c>
      <c r="N221" s="10">
        <f t="shared" si="61"/>
        <v>0.19347685814595478</v>
      </c>
      <c r="O221" s="10">
        <f t="shared" si="62"/>
        <v>-0.41892937949366804</v>
      </c>
      <c r="Y221" s="7">
        <f t="shared" si="52"/>
        <v>0.38502428356221419</v>
      </c>
      <c r="Z221" s="7">
        <f t="shared" si="53"/>
        <v>0.22674260221910883</v>
      </c>
      <c r="AA221" s="7">
        <f t="shared" si="54"/>
        <v>0.26397685814595478</v>
      </c>
      <c r="AB221" s="7">
        <f t="shared" si="55"/>
        <v>-0.34842937949366803</v>
      </c>
      <c r="AC221" s="7">
        <f t="shared" si="63"/>
        <v>0.33412428356221419</v>
      </c>
      <c r="AD221" s="7">
        <f t="shared" si="64"/>
        <v>0.17584260221910883</v>
      </c>
      <c r="AE221" s="7">
        <f t="shared" si="65"/>
        <v>0.21307685814595478</v>
      </c>
      <c r="AF221" s="7">
        <f t="shared" si="66"/>
        <v>-0.39932937949366804</v>
      </c>
    </row>
    <row r="222" spans="1:32" x14ac:dyDescent="0.3">
      <c r="A222" s="1">
        <v>41395</v>
      </c>
      <c r="B222">
        <f>AEP!F222</f>
        <v>31.484874999999999</v>
      </c>
      <c r="C222">
        <f>DFSVX!F222</f>
        <v>17.916278999999999</v>
      </c>
      <c r="D222">
        <f>DFLVX!F222</f>
        <v>17.55818</v>
      </c>
      <c r="E222">
        <f>FSAGX!F222</f>
        <v>21.408038999999999</v>
      </c>
      <c r="F222" s="5">
        <f>'FRED Graph'!B232</f>
        <v>0.12</v>
      </c>
      <c r="G222" s="9">
        <f t="shared" si="51"/>
        <v>1.1999999999999999E-3</v>
      </c>
      <c r="H222" s="10">
        <f t="shared" si="56"/>
        <v>0.24451931046281042</v>
      </c>
      <c r="I222" s="10">
        <f t="shared" si="57"/>
        <v>0.39202975149206143</v>
      </c>
      <c r="J222" s="10">
        <f t="shared" si="58"/>
        <v>0.41676113392338349</v>
      </c>
      <c r="K222" s="10">
        <f t="shared" si="58"/>
        <v>-0.32441561252225953</v>
      </c>
      <c r="L222" s="10">
        <f t="shared" si="59"/>
        <v>0.17401931046281044</v>
      </c>
      <c r="M222" s="10">
        <f t="shared" si="60"/>
        <v>0.32152975149206142</v>
      </c>
      <c r="N222" s="10">
        <f t="shared" si="61"/>
        <v>0.34626113392338348</v>
      </c>
      <c r="O222" s="10">
        <f t="shared" si="62"/>
        <v>-0.39491561252225954</v>
      </c>
      <c r="Y222" s="7">
        <f t="shared" si="52"/>
        <v>0.24451931046281042</v>
      </c>
      <c r="Z222" s="7">
        <f t="shared" si="53"/>
        <v>0.39202975149206143</v>
      </c>
      <c r="AA222" s="7">
        <f t="shared" si="54"/>
        <v>0.41676113392338349</v>
      </c>
      <c r="AB222" s="7">
        <f t="shared" si="55"/>
        <v>-0.32441561252225953</v>
      </c>
      <c r="AC222" s="7">
        <f t="shared" si="63"/>
        <v>0.19361931046281042</v>
      </c>
      <c r="AD222" s="7">
        <f t="shared" si="64"/>
        <v>0.34112975149206143</v>
      </c>
      <c r="AE222" s="7">
        <f t="shared" si="65"/>
        <v>0.36586113392338349</v>
      </c>
      <c r="AF222" s="7">
        <f t="shared" si="66"/>
        <v>-0.37531561252225953</v>
      </c>
    </row>
    <row r="223" spans="1:32" x14ac:dyDescent="0.3">
      <c r="A223" s="1">
        <v>41426</v>
      </c>
      <c r="B223">
        <f>AEP!F223</f>
        <v>31.068339999999999</v>
      </c>
      <c r="C223">
        <f>DFSVX!F223</f>
        <v>17.766352000000001</v>
      </c>
      <c r="D223">
        <f>DFLVX!F223</f>
        <v>17.287562999999999</v>
      </c>
      <c r="E223">
        <f>FSAGX!F223</f>
        <v>17.142492000000001</v>
      </c>
      <c r="F223" s="5">
        <f>'FRED Graph'!B233</f>
        <v>0.14000000000000001</v>
      </c>
      <c r="G223" s="9">
        <f t="shared" si="51"/>
        <v>1.4000000000000002E-3</v>
      </c>
      <c r="H223" s="10">
        <f t="shared" si="56"/>
        <v>0.17081113999458838</v>
      </c>
      <c r="I223" s="10">
        <f t="shared" si="57"/>
        <v>0.32622652434834537</v>
      </c>
      <c r="J223" s="10">
        <f t="shared" si="58"/>
        <v>0.33050225035885894</v>
      </c>
      <c r="K223" s="10">
        <f t="shared" si="58"/>
        <v>-0.46520043489044277</v>
      </c>
      <c r="L223" s="10">
        <f t="shared" si="59"/>
        <v>0.10031113999458839</v>
      </c>
      <c r="M223" s="10">
        <f t="shared" si="60"/>
        <v>0.25572652434834536</v>
      </c>
      <c r="N223" s="10">
        <f t="shared" si="61"/>
        <v>0.26000225035885893</v>
      </c>
      <c r="O223" s="10">
        <f t="shared" si="62"/>
        <v>-0.53570043489044272</v>
      </c>
      <c r="Y223" s="7">
        <f t="shared" si="52"/>
        <v>0.17081113999458838</v>
      </c>
      <c r="Z223" s="7">
        <f t="shared" si="53"/>
        <v>0.32622652434834537</v>
      </c>
      <c r="AA223" s="7">
        <f t="shared" si="54"/>
        <v>0.33050225035885894</v>
      </c>
      <c r="AB223" s="7">
        <f t="shared" si="55"/>
        <v>-0.46520043489044277</v>
      </c>
      <c r="AC223" s="7">
        <f t="shared" si="63"/>
        <v>0.11991113999458838</v>
      </c>
      <c r="AD223" s="7">
        <f t="shared" si="64"/>
        <v>0.27532652434834537</v>
      </c>
      <c r="AE223" s="7">
        <f t="shared" si="65"/>
        <v>0.27960225035885894</v>
      </c>
      <c r="AF223" s="7">
        <f t="shared" si="66"/>
        <v>-0.51610043489044277</v>
      </c>
    </row>
    <row r="224" spans="1:32" x14ac:dyDescent="0.3">
      <c r="A224" s="1">
        <v>41456</v>
      </c>
      <c r="B224">
        <f>AEP!F224</f>
        <v>32.157603999999999</v>
      </c>
      <c r="C224">
        <f>DFSVX!F224</f>
        <v>19.095891999999999</v>
      </c>
      <c r="D224">
        <f>DFLVX!F224</f>
        <v>18.397251000000001</v>
      </c>
      <c r="E224">
        <f>FSAGX!F224</f>
        <v>19.471585999999999</v>
      </c>
      <c r="F224" s="5">
        <f>'FRED Graph'!B234</f>
        <v>0.12</v>
      </c>
      <c r="G224" s="9">
        <f t="shared" si="51"/>
        <v>1.1999999999999999E-3</v>
      </c>
      <c r="H224" s="10">
        <f t="shared" si="56"/>
        <v>0.14472535259349081</v>
      </c>
      <c r="I224" s="10">
        <f t="shared" si="57"/>
        <v>0.42478267390005114</v>
      </c>
      <c r="J224" s="10">
        <f t="shared" si="58"/>
        <v>0.39523704107000945</v>
      </c>
      <c r="K224" s="10">
        <f t="shared" si="58"/>
        <v>-0.37550087757911649</v>
      </c>
      <c r="L224" s="10">
        <f t="shared" si="59"/>
        <v>7.422535259349082E-2</v>
      </c>
      <c r="M224" s="10">
        <f t="shared" si="60"/>
        <v>0.35428267390005114</v>
      </c>
      <c r="N224" s="10">
        <f t="shared" si="61"/>
        <v>0.32473704107000945</v>
      </c>
      <c r="O224" s="10">
        <f t="shared" si="62"/>
        <v>-0.44600087757911649</v>
      </c>
      <c r="Y224" s="7">
        <f t="shared" si="52"/>
        <v>0.14472535259349081</v>
      </c>
      <c r="Z224" s="7">
        <f t="shared" si="53"/>
        <v>0.42478267390005114</v>
      </c>
      <c r="AA224" s="7">
        <f t="shared" si="54"/>
        <v>0.39523704107000945</v>
      </c>
      <c r="AB224" s="7">
        <f t="shared" si="55"/>
        <v>-0.37550087757911649</v>
      </c>
      <c r="AC224" s="7">
        <f t="shared" si="63"/>
        <v>9.3825352593490813E-2</v>
      </c>
      <c r="AD224" s="7">
        <f t="shared" si="64"/>
        <v>0.37388267390005114</v>
      </c>
      <c r="AE224" s="7">
        <f t="shared" si="65"/>
        <v>0.34433704107000945</v>
      </c>
      <c r="AF224" s="7">
        <f t="shared" si="66"/>
        <v>-0.42640087757911649</v>
      </c>
    </row>
    <row r="225" spans="1:32" x14ac:dyDescent="0.3">
      <c r="A225" s="1">
        <v>41487</v>
      </c>
      <c r="B225">
        <f>AEP!F225</f>
        <v>29.694626</v>
      </c>
      <c r="C225">
        <f>DFSVX!F225</f>
        <v>18.299026000000001</v>
      </c>
      <c r="D225">
        <f>DFLVX!F225</f>
        <v>17.847403</v>
      </c>
      <c r="E225">
        <f>FSAGX!F225</f>
        <v>21.051086000000002</v>
      </c>
      <c r="F225" s="5">
        <f>'FRED Graph'!B235</f>
        <v>0.13</v>
      </c>
      <c r="G225" s="9">
        <f t="shared" si="51"/>
        <v>1.2999999999999999E-3</v>
      </c>
      <c r="H225" s="10">
        <f t="shared" si="56"/>
        <v>3.8608860083476519E-2</v>
      </c>
      <c r="I225" s="10">
        <f t="shared" si="57"/>
        <v>0.3101253162187973</v>
      </c>
      <c r="J225" s="10">
        <f t="shared" si="58"/>
        <v>0.30212879059429998</v>
      </c>
      <c r="K225" s="10">
        <f t="shared" si="58"/>
        <v>-0.38519678120244277</v>
      </c>
      <c r="L225" s="10">
        <f t="shared" si="59"/>
        <v>-3.1891139916523474E-2</v>
      </c>
      <c r="M225" s="10">
        <f t="shared" si="60"/>
        <v>0.23962531621879729</v>
      </c>
      <c r="N225" s="10">
        <f t="shared" si="61"/>
        <v>0.23162879059429997</v>
      </c>
      <c r="O225" s="10">
        <f t="shared" si="62"/>
        <v>-0.45569678120244278</v>
      </c>
      <c r="Y225" s="7">
        <f t="shared" si="52"/>
        <v>3.8608860083476519E-2</v>
      </c>
      <c r="Z225" s="7">
        <f t="shared" si="53"/>
        <v>0.3101253162187973</v>
      </c>
      <c r="AA225" s="7">
        <f t="shared" si="54"/>
        <v>0.30212879059429998</v>
      </c>
      <c r="AB225" s="7">
        <f t="shared" si="55"/>
        <v>-0.38519678120244277</v>
      </c>
      <c r="AC225" s="7">
        <f t="shared" si="63"/>
        <v>-1.2291139916523482E-2</v>
      </c>
      <c r="AD225" s="7">
        <f t="shared" si="64"/>
        <v>0.2592253162187973</v>
      </c>
      <c r="AE225" s="7">
        <f t="shared" si="65"/>
        <v>0.25122879059429998</v>
      </c>
      <c r="AF225" s="7">
        <f t="shared" si="66"/>
        <v>-0.43609678120244277</v>
      </c>
    </row>
    <row r="226" spans="1:32" x14ac:dyDescent="0.3">
      <c r="A226" s="1">
        <v>41518</v>
      </c>
      <c r="B226">
        <f>AEP!F226</f>
        <v>30.401530999999999</v>
      </c>
      <c r="C226">
        <f>DFSVX!F226</f>
        <v>19.234473999999999</v>
      </c>
      <c r="D226">
        <f>DFLVX!F226</f>
        <v>18.300219999999999</v>
      </c>
      <c r="E226">
        <f>FSAGX!F226</f>
        <v>19.05217</v>
      </c>
      <c r="F226" s="5">
        <f>'FRED Graph'!B236</f>
        <v>0.12</v>
      </c>
      <c r="G226" s="9">
        <f t="shared" si="51"/>
        <v>1.1999999999999999E-3</v>
      </c>
      <c r="H226" s="10">
        <f t="shared" si="56"/>
        <v>2.872951332513227E-2</v>
      </c>
      <c r="I226" s="10">
        <f t="shared" si="57"/>
        <v>0.33494808516639518</v>
      </c>
      <c r="J226" s="10">
        <f t="shared" si="58"/>
        <v>0.29381618444195556</v>
      </c>
      <c r="K226" s="10">
        <f t="shared" si="58"/>
        <v>-0.50601574476497913</v>
      </c>
      <c r="L226" s="10">
        <f t="shared" si="59"/>
        <v>-4.1770486674867727E-2</v>
      </c>
      <c r="M226" s="10">
        <f t="shared" si="60"/>
        <v>0.26444808516639517</v>
      </c>
      <c r="N226" s="10">
        <f t="shared" si="61"/>
        <v>0.22331618444195556</v>
      </c>
      <c r="O226" s="10">
        <f t="shared" si="62"/>
        <v>-0.57651574476497913</v>
      </c>
      <c r="Y226" s="7">
        <f t="shared" si="52"/>
        <v>2.872951332513227E-2</v>
      </c>
      <c r="Z226" s="7">
        <f t="shared" si="53"/>
        <v>0.33494808516639518</v>
      </c>
      <c r="AA226" s="7">
        <f t="shared" si="54"/>
        <v>0.29381618444195556</v>
      </c>
      <c r="AB226" s="7">
        <f t="shared" si="55"/>
        <v>-0.50601574476497913</v>
      </c>
      <c r="AC226" s="7">
        <f t="shared" si="63"/>
        <v>-2.2170486674867731E-2</v>
      </c>
      <c r="AD226" s="7">
        <f t="shared" si="64"/>
        <v>0.28404808516639518</v>
      </c>
      <c r="AE226" s="7">
        <f t="shared" si="65"/>
        <v>0.24291618444195556</v>
      </c>
      <c r="AF226" s="7">
        <f t="shared" si="66"/>
        <v>-0.55691574476497907</v>
      </c>
    </row>
    <row r="227" spans="1:32" x14ac:dyDescent="0.3">
      <c r="A227" s="1">
        <v>41548</v>
      </c>
      <c r="B227">
        <f>AEP!F227</f>
        <v>32.849079000000003</v>
      </c>
      <c r="C227">
        <f>DFSVX!F227</f>
        <v>19.935091</v>
      </c>
      <c r="D227">
        <f>DFLVX!F227</f>
        <v>19.304099999999998</v>
      </c>
      <c r="E227">
        <f>FSAGX!F227</f>
        <v>18.918312</v>
      </c>
      <c r="F227" s="5">
        <f>'FRED Graph'!B237</f>
        <v>0.12</v>
      </c>
      <c r="G227" s="9">
        <f t="shared" si="51"/>
        <v>1.1999999999999999E-3</v>
      </c>
      <c r="H227" s="10">
        <f t="shared" si="56"/>
        <v>9.9043711481996546E-2</v>
      </c>
      <c r="I227" s="10">
        <f t="shared" si="57"/>
        <v>0.39290921263921519</v>
      </c>
      <c r="J227" s="10">
        <f t="shared" si="58"/>
        <v>0.3551986453699959</v>
      </c>
      <c r="K227" s="10">
        <f t="shared" si="58"/>
        <v>-0.49355005756697296</v>
      </c>
      <c r="L227" s="10">
        <f t="shared" si="59"/>
        <v>2.8543711481996553E-2</v>
      </c>
      <c r="M227" s="10">
        <f t="shared" si="60"/>
        <v>0.32240921263921518</v>
      </c>
      <c r="N227" s="10">
        <f t="shared" si="61"/>
        <v>0.2846986453699959</v>
      </c>
      <c r="O227" s="10">
        <f t="shared" si="62"/>
        <v>-0.56405005756697291</v>
      </c>
      <c r="Y227" s="7">
        <f t="shared" si="52"/>
        <v>9.9043711481996546E-2</v>
      </c>
      <c r="Z227" s="7">
        <f t="shared" si="53"/>
        <v>0.39290921263921519</v>
      </c>
      <c r="AA227" s="7">
        <f t="shared" si="54"/>
        <v>0.3551986453699959</v>
      </c>
      <c r="AB227" s="7">
        <f t="shared" si="55"/>
        <v>-0.49355005756697296</v>
      </c>
      <c r="AC227" s="7">
        <f t="shared" si="63"/>
        <v>4.8143711481996546E-2</v>
      </c>
      <c r="AD227" s="7">
        <f t="shared" si="64"/>
        <v>0.34200921263921519</v>
      </c>
      <c r="AE227" s="7">
        <f t="shared" si="65"/>
        <v>0.3042986453699959</v>
      </c>
      <c r="AF227" s="7">
        <f t="shared" si="66"/>
        <v>-0.54445005756697296</v>
      </c>
    </row>
    <row r="228" spans="1:32" x14ac:dyDescent="0.3">
      <c r="A228" s="1">
        <v>41579</v>
      </c>
      <c r="B228">
        <f>AEP!F228</f>
        <v>33.003360999999998</v>
      </c>
      <c r="C228">
        <f>DFSVX!F228</f>
        <v>20.946878000000002</v>
      </c>
      <c r="D228">
        <f>DFLVX!F228</f>
        <v>20.109524</v>
      </c>
      <c r="E228">
        <f>FSAGX!F228</f>
        <v>16.580297000000002</v>
      </c>
      <c r="F228" s="5">
        <f>'FRED Graph'!B238</f>
        <v>0.12</v>
      </c>
      <c r="G228" s="9">
        <f t="shared" si="51"/>
        <v>1.1999999999999999E-3</v>
      </c>
      <c r="H228" s="10">
        <f t="shared" si="56"/>
        <v>0.15054859368299492</v>
      </c>
      <c r="I228" s="10">
        <f t="shared" si="57"/>
        <v>0.43710237529083373</v>
      </c>
      <c r="J228" s="10">
        <f t="shared" si="58"/>
        <v>0.40858932009055243</v>
      </c>
      <c r="K228" s="10">
        <f t="shared" si="58"/>
        <v>-0.51450225762654822</v>
      </c>
      <c r="L228" s="10">
        <f t="shared" si="59"/>
        <v>8.0048593682994926E-2</v>
      </c>
      <c r="M228" s="10">
        <f t="shared" si="60"/>
        <v>0.36660237529083373</v>
      </c>
      <c r="N228" s="10">
        <f t="shared" si="61"/>
        <v>0.33808932009055243</v>
      </c>
      <c r="O228" s="10">
        <f t="shared" si="62"/>
        <v>-0.58500225762654823</v>
      </c>
      <c r="Y228" s="7">
        <f t="shared" si="52"/>
        <v>0.15054859368299492</v>
      </c>
      <c r="Z228" s="7">
        <f t="shared" si="53"/>
        <v>0.43710237529083373</v>
      </c>
      <c r="AA228" s="7">
        <f t="shared" si="54"/>
        <v>0.40858932009055243</v>
      </c>
      <c r="AB228" s="7">
        <f t="shared" si="55"/>
        <v>-0.51450225762654822</v>
      </c>
      <c r="AC228" s="7">
        <f t="shared" si="63"/>
        <v>9.9648593682994918E-2</v>
      </c>
      <c r="AD228" s="7">
        <f t="shared" si="64"/>
        <v>0.38620237529083373</v>
      </c>
      <c r="AE228" s="7">
        <f t="shared" si="65"/>
        <v>0.35768932009055243</v>
      </c>
      <c r="AF228" s="7">
        <f t="shared" si="66"/>
        <v>-0.56540225762654828</v>
      </c>
    </row>
    <row r="229" spans="1:32" x14ac:dyDescent="0.3">
      <c r="A229" s="1">
        <v>41609</v>
      </c>
      <c r="B229">
        <f>AEP!F229</f>
        <v>33.134708000000003</v>
      </c>
      <c r="C229">
        <f>DFSVX!F229</f>
        <v>20.472781999999999</v>
      </c>
      <c r="D229">
        <f>DFLVX!F229</f>
        <v>20.538221</v>
      </c>
      <c r="E229">
        <f>FSAGX!F229</f>
        <v>16.03595</v>
      </c>
      <c r="F229" s="5">
        <f>'FRED Graph'!B239</f>
        <v>0.13</v>
      </c>
      <c r="G229" s="9">
        <f t="shared" si="51"/>
        <v>1.2999999999999999E-3</v>
      </c>
      <c r="H229" s="10">
        <f t="shared" si="56"/>
        <v>0.1417920417754498</v>
      </c>
      <c r="I229" s="10">
        <f t="shared" si="57"/>
        <v>0.45012653414863713</v>
      </c>
      <c r="J229" s="10">
        <f t="shared" si="58"/>
        <v>0.40657871523723788</v>
      </c>
      <c r="K229" s="10">
        <f t="shared" si="58"/>
        <v>-0.51406162054833637</v>
      </c>
      <c r="L229" s="10">
        <f t="shared" si="59"/>
        <v>7.1292041775449802E-2</v>
      </c>
      <c r="M229" s="10">
        <f t="shared" si="60"/>
        <v>0.37962653414863712</v>
      </c>
      <c r="N229" s="10">
        <f t="shared" si="61"/>
        <v>0.33607871523723787</v>
      </c>
      <c r="O229" s="10">
        <f t="shared" si="62"/>
        <v>-0.58456162054833638</v>
      </c>
      <c r="Y229" s="7">
        <f t="shared" si="52"/>
        <v>0.1417920417754498</v>
      </c>
      <c r="Z229" s="7">
        <f t="shared" si="53"/>
        <v>0.45012653414863713</v>
      </c>
      <c r="AA229" s="7">
        <f t="shared" si="54"/>
        <v>0.40657871523723788</v>
      </c>
      <c r="AB229" s="7">
        <f t="shared" si="55"/>
        <v>-0.51406162054833637</v>
      </c>
      <c r="AC229" s="7">
        <f t="shared" si="63"/>
        <v>9.0892041775449794E-2</v>
      </c>
      <c r="AD229" s="7">
        <f t="shared" si="64"/>
        <v>0.39922653414863712</v>
      </c>
      <c r="AE229" s="7">
        <f t="shared" si="65"/>
        <v>0.35567871523723787</v>
      </c>
      <c r="AF229" s="7">
        <f t="shared" si="66"/>
        <v>-0.56496162054833632</v>
      </c>
    </row>
    <row r="230" spans="1:32" x14ac:dyDescent="0.3">
      <c r="A230" s="1">
        <v>41640</v>
      </c>
      <c r="B230">
        <f>AEP!F230</f>
        <v>34.602158000000003</v>
      </c>
      <c r="C230">
        <f>DFSVX!F230</f>
        <v>20.412783000000001</v>
      </c>
      <c r="D230">
        <f>DFLVX!F230</f>
        <v>19.824573999999998</v>
      </c>
      <c r="E230">
        <f>FSAGX!F230</f>
        <v>17.918856000000002</v>
      </c>
      <c r="F230" s="5">
        <f>'FRED Graph'!B240</f>
        <v>0.12</v>
      </c>
      <c r="G230" s="9">
        <f t="shared" si="51"/>
        <v>1.1999999999999999E-3</v>
      </c>
      <c r="H230" s="10">
        <f t="shared" si="56"/>
        <v>0.12364496787014216</v>
      </c>
      <c r="I230" s="10">
        <f t="shared" si="57"/>
        <v>0.26760576762098193</v>
      </c>
      <c r="J230" s="10">
        <f t="shared" si="58"/>
        <v>0.2603281742579574</v>
      </c>
      <c r="K230" s="10">
        <f t="shared" si="58"/>
        <v>-0.41235003597782094</v>
      </c>
      <c r="L230" s="10">
        <f t="shared" si="59"/>
        <v>5.3144967870142168E-2</v>
      </c>
      <c r="M230" s="10">
        <f t="shared" si="60"/>
        <v>0.19710576762098192</v>
      </c>
      <c r="N230" s="10">
        <f t="shared" si="61"/>
        <v>0.18982817425795739</v>
      </c>
      <c r="O230" s="10">
        <f t="shared" si="62"/>
        <v>-0.48285003597782095</v>
      </c>
      <c r="Y230" s="7">
        <f t="shared" si="52"/>
        <v>0.12364496787014216</v>
      </c>
      <c r="Z230" s="7">
        <f t="shared" si="53"/>
        <v>0.26760576762098193</v>
      </c>
      <c r="AA230" s="7">
        <f t="shared" si="54"/>
        <v>0.2603281742579574</v>
      </c>
      <c r="AB230" s="7">
        <f t="shared" si="55"/>
        <v>-0.41235003597782094</v>
      </c>
      <c r="AC230" s="7">
        <f t="shared" si="63"/>
        <v>7.274496787014216E-2</v>
      </c>
      <c r="AD230" s="7">
        <f t="shared" si="64"/>
        <v>0.21670576762098193</v>
      </c>
      <c r="AE230" s="7">
        <f t="shared" si="65"/>
        <v>0.2094281742579574</v>
      </c>
      <c r="AF230" s="7">
        <f t="shared" si="66"/>
        <v>-0.46325003597782094</v>
      </c>
    </row>
    <row r="231" spans="1:32" x14ac:dyDescent="0.3">
      <c r="A231" s="1">
        <v>41671</v>
      </c>
      <c r="B231">
        <f>AEP!F231</f>
        <v>35.587539999999997</v>
      </c>
      <c r="C231">
        <f>DFSVX!F231</f>
        <v>21.524881000000001</v>
      </c>
      <c r="D231">
        <f>DFLVX!F231</f>
        <v>20.490396</v>
      </c>
      <c r="E231">
        <f>FSAGX!F231</f>
        <v>19.998083000000001</v>
      </c>
      <c r="F231" s="5">
        <f>'FRED Graph'!B241</f>
        <v>0.12</v>
      </c>
      <c r="G231" s="9">
        <f t="shared" si="51"/>
        <v>1.1999999999999999E-3</v>
      </c>
      <c r="H231" s="10">
        <f t="shared" si="56"/>
        <v>0.11859575379486018</v>
      </c>
      <c r="I231" s="10">
        <f t="shared" si="57"/>
        <v>0.31361901200779524</v>
      </c>
      <c r="J231" s="10">
        <f t="shared" si="58"/>
        <v>0.28637459935761617</v>
      </c>
      <c r="K231" s="10">
        <f t="shared" si="58"/>
        <v>-0.27050802167907795</v>
      </c>
      <c r="L231" s="10">
        <f t="shared" si="59"/>
        <v>4.8095753794860183E-2</v>
      </c>
      <c r="M231" s="10">
        <f t="shared" si="60"/>
        <v>0.24311901200779523</v>
      </c>
      <c r="N231" s="10">
        <f t="shared" si="61"/>
        <v>0.21587459935761616</v>
      </c>
      <c r="O231" s="10">
        <f t="shared" si="62"/>
        <v>-0.34100802167907796</v>
      </c>
      <c r="Y231" s="7">
        <f t="shared" si="52"/>
        <v>0.11859575379486018</v>
      </c>
      <c r="Z231" s="7">
        <f t="shared" si="53"/>
        <v>0.31361901200779524</v>
      </c>
      <c r="AA231" s="7">
        <f t="shared" si="54"/>
        <v>0.28637459935761617</v>
      </c>
      <c r="AB231" s="7">
        <f t="shared" si="55"/>
        <v>-0.27050802167907795</v>
      </c>
      <c r="AC231" s="7">
        <f t="shared" si="63"/>
        <v>6.7695753794860175E-2</v>
      </c>
      <c r="AD231" s="7">
        <f t="shared" si="64"/>
        <v>0.26271901200779524</v>
      </c>
      <c r="AE231" s="7">
        <f t="shared" si="65"/>
        <v>0.23547459935761617</v>
      </c>
      <c r="AF231" s="7">
        <f t="shared" si="66"/>
        <v>-0.32140802167907795</v>
      </c>
    </row>
    <row r="232" spans="1:32" x14ac:dyDescent="0.3">
      <c r="A232" s="1">
        <v>41699</v>
      </c>
      <c r="B232">
        <f>AEP!F232</f>
        <v>36.292095000000003</v>
      </c>
      <c r="C232">
        <f>DFSVX!F232</f>
        <v>21.780114999999999</v>
      </c>
      <c r="D232">
        <f>DFLVX!F232</f>
        <v>20.901648999999999</v>
      </c>
      <c r="E232">
        <f>FSAGX!F232</f>
        <v>18.347197999999999</v>
      </c>
      <c r="F232" s="5">
        <f>'FRED Graph'!B242</f>
        <v>0.13</v>
      </c>
      <c r="G232" s="9">
        <f t="shared" si="51"/>
        <v>1.2999999999999999E-3</v>
      </c>
      <c r="H232" s="10">
        <f t="shared" si="56"/>
        <v>8.6077815841342747E-2</v>
      </c>
      <c r="I232" s="10">
        <f t="shared" si="57"/>
        <v>0.26721782399368266</v>
      </c>
      <c r="J232" s="10">
        <f t="shared" si="58"/>
        <v>0.25597745524070514</v>
      </c>
      <c r="K232" s="10">
        <f t="shared" si="58"/>
        <v>-0.32963797223941216</v>
      </c>
      <c r="L232" s="10">
        <f t="shared" si="59"/>
        <v>1.5577815841342754E-2</v>
      </c>
      <c r="M232" s="10">
        <f t="shared" si="60"/>
        <v>0.19671782399368265</v>
      </c>
      <c r="N232" s="10">
        <f t="shared" si="61"/>
        <v>0.18547745524070514</v>
      </c>
      <c r="O232" s="10">
        <f t="shared" si="62"/>
        <v>-0.40013797223941217</v>
      </c>
      <c r="Y232" s="7">
        <f t="shared" si="52"/>
        <v>8.6077815841342747E-2</v>
      </c>
      <c r="Z232" s="7">
        <f t="shared" si="53"/>
        <v>0.26721782399368266</v>
      </c>
      <c r="AA232" s="7">
        <f t="shared" si="54"/>
        <v>0.25597745524070514</v>
      </c>
      <c r="AB232" s="7">
        <f t="shared" si="55"/>
        <v>-0.32963797223941216</v>
      </c>
      <c r="AC232" s="7">
        <f t="shared" si="63"/>
        <v>3.5177815841342747E-2</v>
      </c>
      <c r="AD232" s="7">
        <f t="shared" si="64"/>
        <v>0.21631782399368266</v>
      </c>
      <c r="AE232" s="7">
        <f t="shared" si="65"/>
        <v>0.20507745524070514</v>
      </c>
      <c r="AF232" s="7">
        <f t="shared" si="66"/>
        <v>-0.38053797223941216</v>
      </c>
    </row>
    <row r="233" spans="1:32" x14ac:dyDescent="0.3">
      <c r="A233" s="1">
        <v>41730</v>
      </c>
      <c r="B233">
        <f>AEP!F233</f>
        <v>38.548717000000003</v>
      </c>
      <c r="C233">
        <f>DFSVX!F233</f>
        <v>21.360802</v>
      </c>
      <c r="D233">
        <f>DFLVX!F233</f>
        <v>21.10792</v>
      </c>
      <c r="E233">
        <f>FSAGX!F233</f>
        <v>18.855848000000002</v>
      </c>
      <c r="F233" s="5">
        <f>'FRED Graph'!B243</f>
        <v>0.11</v>
      </c>
      <c r="G233" s="9">
        <f t="shared" si="51"/>
        <v>1.1000000000000001E-3</v>
      </c>
      <c r="H233" s="10">
        <f t="shared" si="56"/>
        <v>9.0803484858195851E-2</v>
      </c>
      <c r="I233" s="10">
        <f t="shared" si="57"/>
        <v>0.25656063559815562</v>
      </c>
      <c r="J233" s="10">
        <f t="shared" si="58"/>
        <v>0.25178126575444265</v>
      </c>
      <c r="K233" s="10">
        <f t="shared" si="58"/>
        <v>-0.15106462198974649</v>
      </c>
      <c r="L233" s="10">
        <f t="shared" si="59"/>
        <v>2.0303484858195858E-2</v>
      </c>
      <c r="M233" s="10">
        <f t="shared" si="60"/>
        <v>0.18606063559815561</v>
      </c>
      <c r="N233" s="10">
        <f t="shared" si="61"/>
        <v>0.18128126575444264</v>
      </c>
      <c r="O233" s="10">
        <f t="shared" si="62"/>
        <v>-0.22156462198974647</v>
      </c>
      <c r="Y233" s="7">
        <f t="shared" si="52"/>
        <v>9.0803484858195851E-2</v>
      </c>
      <c r="Z233" s="7">
        <f t="shared" si="53"/>
        <v>0.25656063559815562</v>
      </c>
      <c r="AA233" s="7">
        <f t="shared" si="54"/>
        <v>0.25178126575444265</v>
      </c>
      <c r="AB233" s="7">
        <f t="shared" si="55"/>
        <v>-0.15106462198974649</v>
      </c>
      <c r="AC233" s="7">
        <f t="shared" si="63"/>
        <v>3.9903484858195851E-2</v>
      </c>
      <c r="AD233" s="7">
        <f t="shared" si="64"/>
        <v>0.20566063559815562</v>
      </c>
      <c r="AE233" s="7">
        <f t="shared" si="65"/>
        <v>0.20088126575444265</v>
      </c>
      <c r="AF233" s="7">
        <f t="shared" si="66"/>
        <v>-0.20196462198974649</v>
      </c>
    </row>
    <row r="234" spans="1:32" x14ac:dyDescent="0.3">
      <c r="A234" s="1">
        <v>41760</v>
      </c>
      <c r="B234">
        <f>AEP!F234</f>
        <v>38.219158</v>
      </c>
      <c r="C234">
        <f>DFSVX!F234</f>
        <v>21.537037000000002</v>
      </c>
      <c r="D234">
        <f>DFLVX!F234</f>
        <v>21.56636</v>
      </c>
      <c r="E234">
        <f>FSAGX!F234</f>
        <v>17.731456999999999</v>
      </c>
      <c r="F234" s="5">
        <f>'FRED Graph'!B244</f>
        <v>0.1</v>
      </c>
      <c r="G234" s="9">
        <f t="shared" si="51"/>
        <v>1E-3</v>
      </c>
      <c r="H234" s="10">
        <f t="shared" si="56"/>
        <v>0.2138894627976132</v>
      </c>
      <c r="I234" s="10">
        <f t="shared" si="57"/>
        <v>0.20209319133733084</v>
      </c>
      <c r="J234" s="10">
        <f t="shared" si="58"/>
        <v>0.22827992422904878</v>
      </c>
      <c r="K234" s="10">
        <f t="shared" si="58"/>
        <v>-0.17173838295044211</v>
      </c>
      <c r="L234" s="10">
        <f t="shared" si="59"/>
        <v>0.14338946279761322</v>
      </c>
      <c r="M234" s="10">
        <f t="shared" si="60"/>
        <v>0.13159319133733083</v>
      </c>
      <c r="N234" s="10">
        <f t="shared" si="61"/>
        <v>0.1577799242290488</v>
      </c>
      <c r="O234" s="10">
        <f t="shared" si="62"/>
        <v>-0.24223838295044209</v>
      </c>
      <c r="Y234" s="7">
        <f t="shared" si="52"/>
        <v>0.2138894627976132</v>
      </c>
      <c r="Z234" s="7">
        <f t="shared" si="53"/>
        <v>0.20209319133733084</v>
      </c>
      <c r="AA234" s="7">
        <f t="shared" si="54"/>
        <v>0.22827992422904878</v>
      </c>
      <c r="AB234" s="7">
        <f t="shared" si="55"/>
        <v>-0.17173838295044211</v>
      </c>
      <c r="AC234" s="7">
        <f t="shared" si="63"/>
        <v>0.1629894627976132</v>
      </c>
      <c r="AD234" s="7">
        <f t="shared" si="64"/>
        <v>0.15119319133733083</v>
      </c>
      <c r="AE234" s="7">
        <f t="shared" si="65"/>
        <v>0.17737992422904877</v>
      </c>
      <c r="AF234" s="7">
        <f t="shared" si="66"/>
        <v>-0.22263838295044211</v>
      </c>
    </row>
    <row r="235" spans="1:32" x14ac:dyDescent="0.3">
      <c r="A235" s="1">
        <v>41791</v>
      </c>
      <c r="B235">
        <f>AEP!F235</f>
        <v>40.334408000000003</v>
      </c>
      <c r="C235">
        <f>DFSVX!F235</f>
        <v>22.466822000000001</v>
      </c>
      <c r="D235">
        <f>DFLVX!F235</f>
        <v>22.064101999999998</v>
      </c>
      <c r="E235">
        <f>FSAGX!F235</f>
        <v>20.952925</v>
      </c>
      <c r="F235" s="5">
        <f>'FRED Graph'!B245</f>
        <v>0.1</v>
      </c>
      <c r="G235" s="9">
        <f t="shared" si="51"/>
        <v>1E-3</v>
      </c>
      <c r="H235" s="10">
        <f t="shared" si="56"/>
        <v>0.29824792698934044</v>
      </c>
      <c r="I235" s="10">
        <f t="shared" si="57"/>
        <v>0.26457147758864619</v>
      </c>
      <c r="J235" s="10">
        <f t="shared" si="58"/>
        <v>0.27629915217084094</v>
      </c>
      <c r="K235" s="10">
        <f t="shared" si="58"/>
        <v>0.222279992897182</v>
      </c>
      <c r="L235" s="10">
        <f t="shared" si="59"/>
        <v>0.22774792698934043</v>
      </c>
      <c r="M235" s="10">
        <f t="shared" si="60"/>
        <v>0.19407147758864618</v>
      </c>
      <c r="N235" s="10">
        <f t="shared" si="61"/>
        <v>0.20579915217084094</v>
      </c>
      <c r="O235" s="10">
        <f t="shared" si="62"/>
        <v>0.15177999289718203</v>
      </c>
      <c r="Y235" s="7">
        <f t="shared" si="52"/>
        <v>0.29824792698934044</v>
      </c>
      <c r="Z235" s="7">
        <f t="shared" si="53"/>
        <v>0.26457147758864619</v>
      </c>
      <c r="AA235" s="7">
        <f t="shared" si="54"/>
        <v>0.27629915217084094</v>
      </c>
      <c r="AB235" s="7">
        <f t="shared" si="55"/>
        <v>0.222279992897182</v>
      </c>
      <c r="AC235" s="7">
        <f t="shared" si="63"/>
        <v>0.24734792698934044</v>
      </c>
      <c r="AD235" s="7">
        <f t="shared" si="64"/>
        <v>0.21367147758864619</v>
      </c>
      <c r="AE235" s="7">
        <f t="shared" si="65"/>
        <v>0.22539915217084094</v>
      </c>
      <c r="AF235" s="7">
        <f t="shared" si="66"/>
        <v>0.171379992897182</v>
      </c>
    </row>
    <row r="236" spans="1:32" x14ac:dyDescent="0.3">
      <c r="A236" s="1">
        <v>41821</v>
      </c>
      <c r="B236">
        <f>AEP!F236</f>
        <v>37.600613000000003</v>
      </c>
      <c r="C236">
        <f>DFSVX!F236</f>
        <v>21.1968</v>
      </c>
      <c r="D236">
        <f>DFLVX!F236</f>
        <v>21.989742</v>
      </c>
      <c r="E236">
        <f>FSAGX!F236</f>
        <v>20.372881</v>
      </c>
      <c r="F236" s="5">
        <f>'FRED Graph'!B246</f>
        <v>0.11</v>
      </c>
      <c r="G236" s="9">
        <f t="shared" si="51"/>
        <v>1.1000000000000001E-3</v>
      </c>
      <c r="H236" s="10">
        <f t="shared" si="56"/>
        <v>0.16926040260959752</v>
      </c>
      <c r="I236" s="10">
        <f t="shared" si="57"/>
        <v>0.11001884593817354</v>
      </c>
      <c r="J236" s="10">
        <f t="shared" si="58"/>
        <v>0.1952732503350636</v>
      </c>
      <c r="K236" s="10">
        <f t="shared" si="58"/>
        <v>4.6287703528618634E-2</v>
      </c>
      <c r="L236" s="10">
        <f t="shared" si="59"/>
        <v>9.8760402609597522E-2</v>
      </c>
      <c r="M236" s="10">
        <f t="shared" si="60"/>
        <v>3.951884593817355E-2</v>
      </c>
      <c r="N236" s="10">
        <f t="shared" si="61"/>
        <v>0.1247732503350636</v>
      </c>
      <c r="O236" s="10">
        <f t="shared" si="62"/>
        <v>-2.4212296471381359E-2</v>
      </c>
      <c r="Y236" s="7">
        <f t="shared" si="52"/>
        <v>0.16926040260959752</v>
      </c>
      <c r="Z236" s="7">
        <f t="shared" si="53"/>
        <v>0.11001884593817354</v>
      </c>
      <c r="AA236" s="7">
        <f t="shared" si="54"/>
        <v>0.1952732503350636</v>
      </c>
      <c r="AB236" s="7">
        <f t="shared" si="55"/>
        <v>4.6287703528618634E-2</v>
      </c>
      <c r="AC236" s="7">
        <f t="shared" si="63"/>
        <v>0.11836040260959751</v>
      </c>
      <c r="AD236" s="7">
        <f t="shared" si="64"/>
        <v>5.9118845938173542E-2</v>
      </c>
      <c r="AE236" s="7">
        <f t="shared" si="65"/>
        <v>0.1443732503350636</v>
      </c>
      <c r="AF236" s="7">
        <f t="shared" si="66"/>
        <v>-4.6122964713813663E-3</v>
      </c>
    </row>
    <row r="237" spans="1:32" x14ac:dyDescent="0.3">
      <c r="A237" s="1">
        <v>41852</v>
      </c>
      <c r="B237">
        <f>AEP!F237</f>
        <v>38.837330000000001</v>
      </c>
      <c r="C237">
        <f>DFSVX!F237</f>
        <v>22.431865999999999</v>
      </c>
      <c r="D237">
        <f>DFLVX!F237</f>
        <v>22.686785</v>
      </c>
      <c r="E237">
        <f>FSAGX!F237</f>
        <v>20.872612</v>
      </c>
      <c r="F237" s="5">
        <f>'FRED Graph'!B247</f>
        <v>0.11</v>
      </c>
      <c r="G237" s="9">
        <f t="shared" si="51"/>
        <v>1.1000000000000001E-3</v>
      </c>
      <c r="H237" s="10">
        <f t="shared" si="56"/>
        <v>0.30789086213781586</v>
      </c>
      <c r="I237" s="10">
        <f t="shared" si="57"/>
        <v>0.22585027203087191</v>
      </c>
      <c r="J237" s="10">
        <f t="shared" si="58"/>
        <v>0.27115328768000591</v>
      </c>
      <c r="K237" s="10">
        <f t="shared" si="58"/>
        <v>-8.4781374224589343E-3</v>
      </c>
      <c r="L237" s="10">
        <f t="shared" si="59"/>
        <v>0.23739086213781585</v>
      </c>
      <c r="M237" s="10">
        <f t="shared" si="60"/>
        <v>0.15535027203087193</v>
      </c>
      <c r="N237" s="10">
        <f t="shared" si="61"/>
        <v>0.2006532876800059</v>
      </c>
      <c r="O237" s="10">
        <f t="shared" si="62"/>
        <v>-7.8978137422458933E-2</v>
      </c>
      <c r="Y237" s="7">
        <f t="shared" si="52"/>
        <v>0.30789086213781586</v>
      </c>
      <c r="Z237" s="7">
        <f t="shared" si="53"/>
        <v>0.22585027203087191</v>
      </c>
      <c r="AA237" s="7">
        <f t="shared" si="54"/>
        <v>0.27115328768000591</v>
      </c>
      <c r="AB237" s="7">
        <f t="shared" si="55"/>
        <v>-8.4781374224589343E-3</v>
      </c>
      <c r="AC237" s="7">
        <f t="shared" si="63"/>
        <v>0.25699086213781586</v>
      </c>
      <c r="AD237" s="7">
        <f t="shared" si="64"/>
        <v>0.17495027203087191</v>
      </c>
      <c r="AE237" s="7">
        <f t="shared" si="65"/>
        <v>0.2202532876800059</v>
      </c>
      <c r="AF237" s="7">
        <f t="shared" si="66"/>
        <v>-5.9378137422458933E-2</v>
      </c>
    </row>
    <row r="238" spans="1:32" x14ac:dyDescent="0.3">
      <c r="A238" s="1">
        <v>41883</v>
      </c>
      <c r="B238">
        <f>AEP!F238</f>
        <v>38.134765999999999</v>
      </c>
      <c r="C238">
        <f>DFSVX!F238</f>
        <v>20.831764</v>
      </c>
      <c r="D238">
        <f>DFLVX!F238</f>
        <v>22.022631000000001</v>
      </c>
      <c r="E238">
        <f>FSAGX!F238</f>
        <v>16.964022</v>
      </c>
      <c r="F238" s="5">
        <f>'FRED Graph'!B248</f>
        <v>0.11</v>
      </c>
      <c r="G238" s="9">
        <f t="shared" si="51"/>
        <v>1.1000000000000001E-3</v>
      </c>
      <c r="H238" s="10">
        <f t="shared" si="56"/>
        <v>0.25436991972542439</v>
      </c>
      <c r="I238" s="10">
        <f t="shared" si="57"/>
        <v>8.3043081916355038E-2</v>
      </c>
      <c r="J238" s="10">
        <f t="shared" si="58"/>
        <v>0.20340799181649188</v>
      </c>
      <c r="K238" s="10">
        <f t="shared" si="58"/>
        <v>-0.10960158344167621</v>
      </c>
      <c r="L238" s="10">
        <f t="shared" si="59"/>
        <v>0.18386991972542438</v>
      </c>
      <c r="M238" s="10">
        <f t="shared" si="60"/>
        <v>1.2543081916355045E-2</v>
      </c>
      <c r="N238" s="10">
        <f t="shared" si="61"/>
        <v>0.13290799181649188</v>
      </c>
      <c r="O238" s="10">
        <f t="shared" si="62"/>
        <v>-0.18010158344167621</v>
      </c>
      <c r="Y238" s="7">
        <f t="shared" si="52"/>
        <v>0.25436991972542439</v>
      </c>
      <c r="Z238" s="7">
        <f t="shared" si="53"/>
        <v>8.3043081916355038E-2</v>
      </c>
      <c r="AA238" s="7">
        <f t="shared" si="54"/>
        <v>0.20340799181649188</v>
      </c>
      <c r="AB238" s="7">
        <f t="shared" si="55"/>
        <v>-0.10960158344167621</v>
      </c>
      <c r="AC238" s="7">
        <f t="shared" si="63"/>
        <v>0.20346991972542439</v>
      </c>
      <c r="AD238" s="7">
        <f t="shared" si="64"/>
        <v>3.2143081916355037E-2</v>
      </c>
      <c r="AE238" s="7">
        <f t="shared" si="65"/>
        <v>0.15250799181649188</v>
      </c>
      <c r="AF238" s="7">
        <f t="shared" si="66"/>
        <v>-0.1605015834416762</v>
      </c>
    </row>
    <row r="239" spans="1:32" x14ac:dyDescent="0.3">
      <c r="A239" s="1">
        <v>41913</v>
      </c>
      <c r="B239">
        <f>AEP!F239</f>
        <v>42.612186000000001</v>
      </c>
      <c r="C239">
        <f>DFSVX!F239</f>
        <v>21.829363000000001</v>
      </c>
      <c r="D239">
        <f>DFLVX!F239</f>
        <v>22.292665</v>
      </c>
      <c r="E239">
        <f>FSAGX!F239</f>
        <v>13.929948</v>
      </c>
      <c r="F239" s="5">
        <f>'FRED Graph'!B249</f>
        <v>0.1</v>
      </c>
      <c r="G239" s="9">
        <f t="shared" si="51"/>
        <v>1E-3</v>
      </c>
      <c r="H239" s="10">
        <f t="shared" si="56"/>
        <v>0.29721098116632122</v>
      </c>
      <c r="I239" s="10">
        <f t="shared" si="57"/>
        <v>9.5021989114571936E-2</v>
      </c>
      <c r="J239" s="10">
        <f t="shared" si="58"/>
        <v>0.15481503929217116</v>
      </c>
      <c r="K239" s="10">
        <f t="shared" si="58"/>
        <v>-0.2636791273978355</v>
      </c>
      <c r="L239" s="10">
        <f t="shared" si="59"/>
        <v>0.22671098116632121</v>
      </c>
      <c r="M239" s="10">
        <f t="shared" si="60"/>
        <v>2.4521989114571943E-2</v>
      </c>
      <c r="N239" s="10">
        <f t="shared" si="61"/>
        <v>8.4315039292171171E-2</v>
      </c>
      <c r="O239" s="10">
        <f t="shared" si="62"/>
        <v>-0.33417912739783551</v>
      </c>
      <c r="Y239" s="7">
        <f t="shared" si="52"/>
        <v>0.29721098116632122</v>
      </c>
      <c r="Z239" s="7">
        <f t="shared" si="53"/>
        <v>9.5021989114571936E-2</v>
      </c>
      <c r="AA239" s="7">
        <f t="shared" si="54"/>
        <v>0.15481503929217116</v>
      </c>
      <c r="AB239" s="7">
        <f t="shared" si="55"/>
        <v>-0.2636791273978355</v>
      </c>
      <c r="AC239" s="7">
        <f t="shared" si="63"/>
        <v>0.24631098116632122</v>
      </c>
      <c r="AD239" s="7">
        <f t="shared" si="64"/>
        <v>4.4121989114571936E-2</v>
      </c>
      <c r="AE239" s="7">
        <f t="shared" si="65"/>
        <v>0.10391503929217116</v>
      </c>
      <c r="AF239" s="7">
        <f t="shared" si="66"/>
        <v>-0.3145791273978355</v>
      </c>
    </row>
    <row r="240" spans="1:32" x14ac:dyDescent="0.3">
      <c r="A240" s="1">
        <v>41944</v>
      </c>
      <c r="B240">
        <f>AEP!F240</f>
        <v>42.035164000000002</v>
      </c>
      <c r="C240">
        <f>DFSVX!F240</f>
        <v>21.768415000000001</v>
      </c>
      <c r="D240">
        <f>DFLVX!F240</f>
        <v>22.550267999999999</v>
      </c>
      <c r="E240">
        <f>FSAGX!F240</f>
        <v>14.625997999999999</v>
      </c>
      <c r="F240" s="5">
        <f>'FRED Graph'!B250</f>
        <v>0.13</v>
      </c>
      <c r="G240" s="9">
        <f t="shared" si="51"/>
        <v>1.2999999999999999E-3</v>
      </c>
      <c r="H240" s="10">
        <f t="shared" si="56"/>
        <v>0.27366312782507224</v>
      </c>
      <c r="I240" s="10">
        <f t="shared" si="57"/>
        <v>3.9220021236577557E-2</v>
      </c>
      <c r="J240" s="10">
        <f t="shared" si="58"/>
        <v>0.12137253969810517</v>
      </c>
      <c r="K240" s="10">
        <f t="shared" si="58"/>
        <v>-0.11786875711575023</v>
      </c>
      <c r="L240" s="10">
        <f t="shared" si="59"/>
        <v>0.20316312782507223</v>
      </c>
      <c r="M240" s="10">
        <f t="shared" si="60"/>
        <v>-3.1279978763422436E-2</v>
      </c>
      <c r="N240" s="10">
        <f t="shared" si="61"/>
        <v>5.0872539698105179E-2</v>
      </c>
      <c r="O240" s="10">
        <f t="shared" si="62"/>
        <v>-0.18836875711575024</v>
      </c>
      <c r="Y240" s="7">
        <f t="shared" si="52"/>
        <v>0.27366312782507224</v>
      </c>
      <c r="Z240" s="7">
        <f t="shared" si="53"/>
        <v>3.9220021236577557E-2</v>
      </c>
      <c r="AA240" s="7">
        <f t="shared" si="54"/>
        <v>0.12137253969810517</v>
      </c>
      <c r="AB240" s="7">
        <f t="shared" si="55"/>
        <v>-0.11786875711575023</v>
      </c>
      <c r="AC240" s="7">
        <f t="shared" si="63"/>
        <v>0.22276312782507224</v>
      </c>
      <c r="AD240" s="7">
        <f t="shared" si="64"/>
        <v>-1.1679978763422444E-2</v>
      </c>
      <c r="AE240" s="7">
        <f t="shared" si="65"/>
        <v>7.0472539698105172E-2</v>
      </c>
      <c r="AF240" s="7">
        <f t="shared" si="66"/>
        <v>-0.16876875711575023</v>
      </c>
    </row>
    <row r="241" spans="1:32" x14ac:dyDescent="0.3">
      <c r="A241" s="1">
        <v>41974</v>
      </c>
      <c r="B241">
        <f>AEP!F241</f>
        <v>44.747565999999999</v>
      </c>
      <c r="C241">
        <f>DFSVX!F241</f>
        <v>21.311356</v>
      </c>
      <c r="D241">
        <f>DFLVX!F241</f>
        <v>22.451188999999999</v>
      </c>
      <c r="E241">
        <f>FSAGX!F241</f>
        <v>14.670619</v>
      </c>
      <c r="F241" s="5">
        <f>'FRED Graph'!B251</f>
        <v>0.21</v>
      </c>
      <c r="G241" s="9">
        <f t="shared" si="51"/>
        <v>2.0999999999999999E-3</v>
      </c>
      <c r="H241" s="10">
        <f t="shared" si="56"/>
        <v>0.35047413123423315</v>
      </c>
      <c r="I241" s="10">
        <f t="shared" si="57"/>
        <v>4.0960432246091485E-2</v>
      </c>
      <c r="J241" s="10">
        <f t="shared" si="58"/>
        <v>9.3141854886068243E-2</v>
      </c>
      <c r="K241" s="10">
        <f t="shared" si="58"/>
        <v>-8.5141884328649026E-2</v>
      </c>
      <c r="L241" s="10">
        <f t="shared" si="59"/>
        <v>0.27997413123423315</v>
      </c>
      <c r="M241" s="10">
        <f t="shared" si="60"/>
        <v>-2.9539567753908508E-2</v>
      </c>
      <c r="N241" s="10">
        <f t="shared" si="61"/>
        <v>2.2641854886068249E-2</v>
      </c>
      <c r="O241" s="10">
        <f t="shared" si="62"/>
        <v>-0.15564188432864901</v>
      </c>
      <c r="Y241" s="7">
        <f t="shared" si="52"/>
        <v>0.35047413123423315</v>
      </c>
      <c r="Z241" s="7">
        <f t="shared" si="53"/>
        <v>4.0960432246091485E-2</v>
      </c>
      <c r="AA241" s="7">
        <f t="shared" si="54"/>
        <v>9.3141854886068243E-2</v>
      </c>
      <c r="AB241" s="7">
        <f t="shared" si="55"/>
        <v>-8.5141884328649026E-2</v>
      </c>
      <c r="AC241" s="7">
        <f t="shared" si="63"/>
        <v>0.29957413123423315</v>
      </c>
      <c r="AD241" s="7">
        <f t="shared" si="64"/>
        <v>-9.9395677539085153E-3</v>
      </c>
      <c r="AE241" s="7">
        <f t="shared" si="65"/>
        <v>4.2241854886068242E-2</v>
      </c>
      <c r="AF241" s="7">
        <f t="shared" si="66"/>
        <v>-0.13604188432864903</v>
      </c>
    </row>
    <row r="242" spans="1:32" x14ac:dyDescent="0.3">
      <c r="A242" s="1">
        <v>42005</v>
      </c>
      <c r="B242">
        <f>AEP!F242</f>
        <v>46.287785</v>
      </c>
      <c r="C242">
        <f>DFSVX!F242</f>
        <v>21.164280000000002</v>
      </c>
      <c r="D242">
        <f>DFLVX!F242</f>
        <v>21.586957999999999</v>
      </c>
      <c r="E242">
        <f>FSAGX!F242</f>
        <v>17.169262</v>
      </c>
      <c r="F242" s="5">
        <f>'FRED Graph'!B252</f>
        <v>0.2</v>
      </c>
      <c r="G242" s="9">
        <f t="shared" si="51"/>
        <v>2E-3</v>
      </c>
      <c r="H242" s="10">
        <f t="shared" si="56"/>
        <v>0.33771382120155613</v>
      </c>
      <c r="I242" s="10">
        <f t="shared" si="57"/>
        <v>3.6815019294527379E-2</v>
      </c>
      <c r="J242" s="10">
        <f t="shared" si="58"/>
        <v>8.8898959442962097E-2</v>
      </c>
      <c r="K242" s="10">
        <f t="shared" si="58"/>
        <v>-4.1832692890662319E-2</v>
      </c>
      <c r="L242" s="10">
        <f t="shared" si="59"/>
        <v>0.26721382120155612</v>
      </c>
      <c r="M242" s="10">
        <f t="shared" si="60"/>
        <v>-3.3684980705472614E-2</v>
      </c>
      <c r="N242" s="10">
        <f t="shared" si="61"/>
        <v>1.8398959442962104E-2</v>
      </c>
      <c r="O242" s="10">
        <f t="shared" si="62"/>
        <v>-0.11233269289066231</v>
      </c>
      <c r="Y242" s="7">
        <f t="shared" si="52"/>
        <v>0.33771382120155613</v>
      </c>
      <c r="Z242" s="7">
        <f t="shared" si="53"/>
        <v>3.6815019294527379E-2</v>
      </c>
      <c r="AA242" s="7">
        <f t="shared" si="54"/>
        <v>8.8898959442962097E-2</v>
      </c>
      <c r="AB242" s="7">
        <f t="shared" si="55"/>
        <v>-4.1832692890662319E-2</v>
      </c>
      <c r="AC242" s="7">
        <f t="shared" si="63"/>
        <v>0.28681382120155613</v>
      </c>
      <c r="AD242" s="7">
        <f t="shared" si="64"/>
        <v>-1.4084980705472622E-2</v>
      </c>
      <c r="AE242" s="7">
        <f t="shared" si="65"/>
        <v>3.7998959442962096E-2</v>
      </c>
      <c r="AF242" s="7">
        <f t="shared" si="66"/>
        <v>-9.2732692890662327E-2</v>
      </c>
    </row>
    <row r="243" spans="1:32" x14ac:dyDescent="0.3">
      <c r="A243" s="1">
        <v>42036</v>
      </c>
      <c r="B243">
        <f>AEP!F243</f>
        <v>42.433540000000001</v>
      </c>
      <c r="C243">
        <f>DFSVX!F243</f>
        <v>22.412233000000001</v>
      </c>
      <c r="D243">
        <f>DFLVX!F243</f>
        <v>23.110744</v>
      </c>
      <c r="E243">
        <f>FSAGX!F243</f>
        <v>16.508904999999999</v>
      </c>
      <c r="F243" s="5">
        <f>'FRED Graph'!B253</f>
        <v>0.22</v>
      </c>
      <c r="G243" s="9">
        <f t="shared" si="51"/>
        <v>2.2000000000000001E-3</v>
      </c>
      <c r="H243" s="10">
        <f t="shared" si="56"/>
        <v>0.19237070053170308</v>
      </c>
      <c r="I243" s="10">
        <f t="shared" si="57"/>
        <v>4.1224478778767691E-2</v>
      </c>
      <c r="J243" s="10">
        <f t="shared" si="58"/>
        <v>0.12788176470576751</v>
      </c>
      <c r="K243" s="10">
        <f t="shared" si="58"/>
        <v>-0.17447562348851148</v>
      </c>
      <c r="L243" s="10">
        <f t="shared" si="59"/>
        <v>0.12187070053170308</v>
      </c>
      <c r="M243" s="10">
        <f t="shared" si="60"/>
        <v>-2.9275521221232302E-2</v>
      </c>
      <c r="N243" s="10">
        <f t="shared" si="61"/>
        <v>5.7381764705767516E-2</v>
      </c>
      <c r="O243" s="10">
        <f t="shared" si="62"/>
        <v>-0.24497562348851148</v>
      </c>
      <c r="Y243" s="7">
        <f t="shared" si="52"/>
        <v>0.19237070053170308</v>
      </c>
      <c r="Z243" s="7">
        <f t="shared" si="53"/>
        <v>4.1224478778767691E-2</v>
      </c>
      <c r="AA243" s="7">
        <f t="shared" si="54"/>
        <v>0.12788176470576751</v>
      </c>
      <c r="AB243" s="7">
        <f t="shared" si="55"/>
        <v>-0.17447562348851148</v>
      </c>
      <c r="AC243" s="7">
        <f t="shared" si="63"/>
        <v>0.14147070053170308</v>
      </c>
      <c r="AD243" s="7">
        <f t="shared" si="64"/>
        <v>-9.6755212212323097E-3</v>
      </c>
      <c r="AE243" s="7">
        <f t="shared" si="65"/>
        <v>7.6981764705767508E-2</v>
      </c>
      <c r="AF243" s="7">
        <f t="shared" si="66"/>
        <v>-0.22537562348851148</v>
      </c>
    </row>
    <row r="244" spans="1:32" x14ac:dyDescent="0.3">
      <c r="A244" s="1">
        <v>42064</v>
      </c>
      <c r="B244">
        <f>AEP!F244</f>
        <v>41.808216000000002</v>
      </c>
      <c r="C244">
        <f>DFSVX!F244</f>
        <v>22.806995000000001</v>
      </c>
      <c r="D244">
        <f>DFLVX!F244</f>
        <v>22.576084000000002</v>
      </c>
      <c r="E244">
        <f>FSAGX!F244</f>
        <v>14.509992</v>
      </c>
      <c r="F244" s="5">
        <f>'FRED Graph'!B254</f>
        <v>0.25</v>
      </c>
      <c r="G244" s="9">
        <f t="shared" si="51"/>
        <v>2.5000000000000001E-3</v>
      </c>
      <c r="H244" s="10">
        <f t="shared" si="56"/>
        <v>0.15199235536003083</v>
      </c>
      <c r="I244" s="10">
        <f t="shared" si="57"/>
        <v>4.714759311417787E-2</v>
      </c>
      <c r="J244" s="10">
        <f t="shared" si="58"/>
        <v>8.0110186521647295E-2</v>
      </c>
      <c r="K244" s="10">
        <f t="shared" si="58"/>
        <v>-0.20914397936949275</v>
      </c>
      <c r="L244" s="10">
        <f t="shared" si="59"/>
        <v>8.1492355360030841E-2</v>
      </c>
      <c r="M244" s="10">
        <f t="shared" si="60"/>
        <v>-2.3352406885822123E-2</v>
      </c>
      <c r="N244" s="10">
        <f t="shared" si="61"/>
        <v>9.6101865216473015E-3</v>
      </c>
      <c r="O244" s="10">
        <f t="shared" si="62"/>
        <v>-0.27964397936949276</v>
      </c>
      <c r="Y244" s="7">
        <f t="shared" si="52"/>
        <v>0.15199235536003083</v>
      </c>
      <c r="Z244" s="7">
        <f t="shared" si="53"/>
        <v>4.714759311417787E-2</v>
      </c>
      <c r="AA244" s="7">
        <f t="shared" si="54"/>
        <v>8.0110186521647295E-2</v>
      </c>
      <c r="AB244" s="7">
        <f t="shared" si="55"/>
        <v>-0.20914397936949275</v>
      </c>
      <c r="AC244" s="7">
        <f t="shared" si="63"/>
        <v>0.10109235536003083</v>
      </c>
      <c r="AD244" s="7">
        <f t="shared" si="64"/>
        <v>-3.7524068858221307E-3</v>
      </c>
      <c r="AE244" s="7">
        <f t="shared" si="65"/>
        <v>2.9210186521647294E-2</v>
      </c>
      <c r="AF244" s="7">
        <f t="shared" si="66"/>
        <v>-0.26004397936949275</v>
      </c>
    </row>
    <row r="245" spans="1:32" x14ac:dyDescent="0.3">
      <c r="A245" s="1">
        <v>42095</v>
      </c>
      <c r="B245">
        <f>AEP!F245</f>
        <v>42.269024000000002</v>
      </c>
      <c r="C245">
        <f>DFSVX!F245</f>
        <v>22.504612000000002</v>
      </c>
      <c r="D245">
        <f>DFLVX!F245</f>
        <v>23.130951</v>
      </c>
      <c r="E245">
        <f>FSAGX!F245</f>
        <v>15.777161</v>
      </c>
      <c r="F245" s="5">
        <f>'FRED Graph'!B255</f>
        <v>0.23</v>
      </c>
      <c r="G245" s="9">
        <f t="shared" si="51"/>
        <v>2.3E-3</v>
      </c>
      <c r="H245" s="10">
        <f t="shared" si="56"/>
        <v>9.650923012560958E-2</v>
      </c>
      <c r="I245" s="10">
        <f t="shared" si="57"/>
        <v>5.3547146778477793E-2</v>
      </c>
      <c r="J245" s="10">
        <f t="shared" si="58"/>
        <v>9.5842271526517045E-2</v>
      </c>
      <c r="K245" s="10">
        <f t="shared" si="58"/>
        <v>-0.1632749160896928</v>
      </c>
      <c r="L245" s="10">
        <f t="shared" si="59"/>
        <v>2.6009230125609586E-2</v>
      </c>
      <c r="M245" s="10">
        <f t="shared" si="60"/>
        <v>-1.69528532215222E-2</v>
      </c>
      <c r="N245" s="10">
        <f t="shared" si="61"/>
        <v>2.5342271526517052E-2</v>
      </c>
      <c r="O245" s="10">
        <f t="shared" si="62"/>
        <v>-0.23377491608969281</v>
      </c>
      <c r="Y245" s="7">
        <f t="shared" si="52"/>
        <v>9.650923012560958E-2</v>
      </c>
      <c r="Z245" s="7">
        <f t="shared" si="53"/>
        <v>5.3547146778477793E-2</v>
      </c>
      <c r="AA245" s="7">
        <f t="shared" si="54"/>
        <v>9.5842271526517045E-2</v>
      </c>
      <c r="AB245" s="7">
        <f t="shared" si="55"/>
        <v>-0.1632749160896928</v>
      </c>
      <c r="AC245" s="7">
        <f t="shared" si="63"/>
        <v>4.5609230125609579E-2</v>
      </c>
      <c r="AD245" s="7">
        <f t="shared" si="64"/>
        <v>2.6471467784777922E-3</v>
      </c>
      <c r="AE245" s="7">
        <f t="shared" si="65"/>
        <v>4.4942271526517044E-2</v>
      </c>
      <c r="AF245" s="7">
        <f t="shared" si="66"/>
        <v>-0.2141749160896928</v>
      </c>
    </row>
    <row r="246" spans="1:32" x14ac:dyDescent="0.3">
      <c r="A246" s="1">
        <v>42125</v>
      </c>
      <c r="B246">
        <f>AEP!F246</f>
        <v>41.837952000000001</v>
      </c>
      <c r="C246">
        <f>DFSVX!F246</f>
        <v>22.810279999999999</v>
      </c>
      <c r="D246">
        <f>DFLVX!F246</f>
        <v>23.379238000000001</v>
      </c>
      <c r="E246">
        <f>FSAGX!F246</f>
        <v>15.455906000000001</v>
      </c>
      <c r="F246" s="5">
        <f>'FRED Graph'!B256</f>
        <v>0.24</v>
      </c>
      <c r="G246" s="9">
        <f t="shared" si="51"/>
        <v>2.3999999999999998E-3</v>
      </c>
      <c r="H246" s="10">
        <f t="shared" si="56"/>
        <v>9.4685340791652223E-2</v>
      </c>
      <c r="I246" s="10">
        <f t="shared" si="57"/>
        <v>5.9118763644228182E-2</v>
      </c>
      <c r="J246" s="10">
        <f t="shared" si="58"/>
        <v>8.4060453409847621E-2</v>
      </c>
      <c r="K246" s="10">
        <f t="shared" si="58"/>
        <v>-0.12833412392450314</v>
      </c>
      <c r="L246" s="10">
        <f t="shared" si="59"/>
        <v>2.4185340791652229E-2</v>
      </c>
      <c r="M246" s="10">
        <f t="shared" si="60"/>
        <v>-1.1381236355771811E-2</v>
      </c>
      <c r="N246" s="10">
        <f t="shared" si="61"/>
        <v>1.3560453409847628E-2</v>
      </c>
      <c r="O246" s="10">
        <f t="shared" si="62"/>
        <v>-0.19883412392450311</v>
      </c>
      <c r="Y246" s="7">
        <f t="shared" si="52"/>
        <v>9.4685340791652223E-2</v>
      </c>
      <c r="Z246" s="7">
        <f t="shared" si="53"/>
        <v>5.9118763644228182E-2</v>
      </c>
      <c r="AA246" s="7">
        <f t="shared" si="54"/>
        <v>8.4060453409847621E-2</v>
      </c>
      <c r="AB246" s="7">
        <f t="shared" si="55"/>
        <v>-0.12833412392450314</v>
      </c>
      <c r="AC246" s="7">
        <f t="shared" si="63"/>
        <v>4.3785340791652222E-2</v>
      </c>
      <c r="AD246" s="7">
        <f t="shared" si="64"/>
        <v>8.2187636442281817E-3</v>
      </c>
      <c r="AE246" s="7">
        <f t="shared" si="65"/>
        <v>3.3160453409847621E-2</v>
      </c>
      <c r="AF246" s="7">
        <f t="shared" si="66"/>
        <v>-0.17923412392450314</v>
      </c>
    </row>
    <row r="247" spans="1:32" x14ac:dyDescent="0.3">
      <c r="A247" s="1">
        <v>42156</v>
      </c>
      <c r="B247">
        <f>AEP!F247</f>
        <v>39.747177000000001</v>
      </c>
      <c r="C247">
        <f>DFSVX!F247</f>
        <v>22.759335</v>
      </c>
      <c r="D247">
        <f>DFLVX!F247</f>
        <v>22.896083999999998</v>
      </c>
      <c r="E247">
        <f>FSAGX!F247</f>
        <v>14.402905000000001</v>
      </c>
      <c r="F247" s="5">
        <f>'FRED Graph'!B257</f>
        <v>0.28000000000000003</v>
      </c>
      <c r="G247" s="9">
        <f t="shared" si="51"/>
        <v>2.8000000000000004E-3</v>
      </c>
      <c r="H247" s="10">
        <f t="shared" si="56"/>
        <v>-1.4559058360296317E-2</v>
      </c>
      <c r="I247" s="10">
        <f t="shared" si="57"/>
        <v>1.3019776450803749E-2</v>
      </c>
      <c r="J247" s="10">
        <f t="shared" si="58"/>
        <v>3.7707494281888292E-2</v>
      </c>
      <c r="K247" s="10">
        <f t="shared" si="58"/>
        <v>-0.31260647379781104</v>
      </c>
      <c r="L247" s="10">
        <f t="shared" si="59"/>
        <v>-8.5059058360296314E-2</v>
      </c>
      <c r="M247" s="10">
        <f t="shared" si="60"/>
        <v>-5.7480223549196241E-2</v>
      </c>
      <c r="N247" s="10">
        <f t="shared" si="61"/>
        <v>-3.2792505718111702E-2</v>
      </c>
      <c r="O247" s="10">
        <f t="shared" si="62"/>
        <v>-0.38310647379781104</v>
      </c>
      <c r="Y247" s="7">
        <f t="shared" si="52"/>
        <v>-1.4559058360296317E-2</v>
      </c>
      <c r="Z247" s="7">
        <f t="shared" si="53"/>
        <v>1.3019776450803749E-2</v>
      </c>
      <c r="AA247" s="7">
        <f t="shared" si="54"/>
        <v>3.7707494281888292E-2</v>
      </c>
      <c r="AB247" s="7">
        <f t="shared" si="55"/>
        <v>-0.31260647379781104</v>
      </c>
      <c r="AC247" s="7">
        <f t="shared" si="63"/>
        <v>-6.5459058360296321E-2</v>
      </c>
      <c r="AD247" s="7">
        <f t="shared" si="64"/>
        <v>-3.7880223549196249E-2</v>
      </c>
      <c r="AE247" s="7">
        <f t="shared" si="65"/>
        <v>-1.3192505718111709E-2</v>
      </c>
      <c r="AF247" s="7">
        <f t="shared" si="66"/>
        <v>-0.36350647379781104</v>
      </c>
    </row>
    <row r="248" spans="1:32" x14ac:dyDescent="0.3">
      <c r="A248" s="1">
        <v>42186</v>
      </c>
      <c r="B248">
        <f>AEP!F248</f>
        <v>42.448517000000002</v>
      </c>
      <c r="C248">
        <f>DFSVX!F248</f>
        <v>21.984553999999999</v>
      </c>
      <c r="D248">
        <f>DFLVX!F248</f>
        <v>22.939361999999999</v>
      </c>
      <c r="E248">
        <f>FSAGX!F248</f>
        <v>11.904261999999999</v>
      </c>
      <c r="F248" s="5">
        <f>'FRED Graph'!B258</f>
        <v>0.3</v>
      </c>
      <c r="G248" s="9">
        <f t="shared" si="51"/>
        <v>3.0000000000000001E-3</v>
      </c>
      <c r="H248" s="10">
        <f t="shared" si="56"/>
        <v>0.12893151502609809</v>
      </c>
      <c r="I248" s="10">
        <f t="shared" si="57"/>
        <v>3.7163817179951673E-2</v>
      </c>
      <c r="J248" s="10">
        <f t="shared" si="58"/>
        <v>4.3184681293668634E-2</v>
      </c>
      <c r="K248" s="10">
        <f t="shared" si="58"/>
        <v>-0.41568097315249625</v>
      </c>
      <c r="L248" s="10">
        <f t="shared" si="59"/>
        <v>5.8431515026098099E-2</v>
      </c>
      <c r="M248" s="10">
        <f t="shared" si="60"/>
        <v>-3.333618282004832E-2</v>
      </c>
      <c r="N248" s="10">
        <f t="shared" si="61"/>
        <v>-2.731531870633136E-2</v>
      </c>
      <c r="O248" s="10">
        <f t="shared" si="62"/>
        <v>-0.48618097315249625</v>
      </c>
      <c r="Y248" s="7">
        <f t="shared" si="52"/>
        <v>0.12893151502609809</v>
      </c>
      <c r="Z248" s="7">
        <f t="shared" si="53"/>
        <v>3.7163817179951673E-2</v>
      </c>
      <c r="AA248" s="7">
        <f t="shared" si="54"/>
        <v>4.3184681293668634E-2</v>
      </c>
      <c r="AB248" s="7">
        <f t="shared" si="55"/>
        <v>-0.41568097315249625</v>
      </c>
      <c r="AC248" s="7">
        <f t="shared" si="63"/>
        <v>7.8031515026098092E-2</v>
      </c>
      <c r="AD248" s="7">
        <f t="shared" si="64"/>
        <v>-1.3736182820048327E-2</v>
      </c>
      <c r="AE248" s="7">
        <f t="shared" si="65"/>
        <v>-7.7153187063313672E-3</v>
      </c>
      <c r="AF248" s="7">
        <f t="shared" si="66"/>
        <v>-0.46658097315249625</v>
      </c>
    </row>
    <row r="249" spans="1:32" x14ac:dyDescent="0.3">
      <c r="A249" s="1">
        <v>42217</v>
      </c>
      <c r="B249">
        <f>AEP!F249</f>
        <v>40.737675000000003</v>
      </c>
      <c r="C249">
        <f>DFSVX!F249</f>
        <v>21.096996000000001</v>
      </c>
      <c r="D249">
        <f>DFLVX!F249</f>
        <v>21.543989</v>
      </c>
      <c r="E249">
        <f>FSAGX!F249</f>
        <v>12.359372</v>
      </c>
      <c r="F249" s="5">
        <f>'FRED Graph'!B259</f>
        <v>0.38</v>
      </c>
      <c r="G249" s="9">
        <f t="shared" si="51"/>
        <v>3.8E-3</v>
      </c>
      <c r="H249" s="10">
        <f t="shared" si="56"/>
        <v>4.8930886855507352E-2</v>
      </c>
      <c r="I249" s="10">
        <f t="shared" si="57"/>
        <v>-5.9507755618725552E-2</v>
      </c>
      <c r="J249" s="10">
        <f t="shared" si="58"/>
        <v>-5.0372761058916041E-2</v>
      </c>
      <c r="K249" s="10">
        <f t="shared" si="58"/>
        <v>-0.40786653821764135</v>
      </c>
      <c r="L249" s="10">
        <f t="shared" si="59"/>
        <v>-2.1569113144492641E-2</v>
      </c>
      <c r="M249" s="10">
        <f t="shared" si="60"/>
        <v>-0.13000775561872555</v>
      </c>
      <c r="N249" s="10">
        <f t="shared" si="61"/>
        <v>-0.12087276105891603</v>
      </c>
      <c r="O249" s="10">
        <f t="shared" si="62"/>
        <v>-0.47836653821764136</v>
      </c>
      <c r="Y249" s="7">
        <f t="shared" si="52"/>
        <v>4.8930886855507352E-2</v>
      </c>
      <c r="Z249" s="7">
        <f t="shared" si="53"/>
        <v>-5.9507755618725552E-2</v>
      </c>
      <c r="AA249" s="7">
        <f t="shared" si="54"/>
        <v>-5.0372761058916041E-2</v>
      </c>
      <c r="AB249" s="7">
        <f t="shared" si="55"/>
        <v>-0.40786653821764135</v>
      </c>
      <c r="AC249" s="7">
        <f t="shared" si="63"/>
        <v>-1.9691131444926485E-3</v>
      </c>
      <c r="AD249" s="7">
        <f t="shared" si="64"/>
        <v>-0.11040775561872555</v>
      </c>
      <c r="AE249" s="7">
        <f t="shared" si="65"/>
        <v>-0.10127276105891604</v>
      </c>
      <c r="AF249" s="7">
        <f t="shared" si="66"/>
        <v>-0.45876653821764135</v>
      </c>
    </row>
    <row r="250" spans="1:32" x14ac:dyDescent="0.3">
      <c r="A250" s="1">
        <v>42248</v>
      </c>
      <c r="B250">
        <f>AEP!F250</f>
        <v>43.069060999999998</v>
      </c>
      <c r="C250">
        <f>DFSVX!F250</f>
        <v>20.062588000000002</v>
      </c>
      <c r="D250">
        <f>DFLVX!F250</f>
        <v>20.735081000000001</v>
      </c>
      <c r="E250">
        <f>FSAGX!F250</f>
        <v>12.011343999999999</v>
      </c>
      <c r="F250" s="5">
        <f>'FRED Graph'!B260</f>
        <v>0.37</v>
      </c>
      <c r="G250" s="9">
        <f t="shared" si="51"/>
        <v>3.7000000000000002E-3</v>
      </c>
      <c r="H250" s="10">
        <f t="shared" si="56"/>
        <v>0.12939098669177618</v>
      </c>
      <c r="I250" s="10">
        <f t="shared" si="57"/>
        <v>-3.6923229353020615E-2</v>
      </c>
      <c r="J250" s="10">
        <f t="shared" si="58"/>
        <v>-5.8464858263301944E-2</v>
      </c>
      <c r="K250" s="10">
        <f t="shared" si="58"/>
        <v>-0.29195187320554056</v>
      </c>
      <c r="L250" s="10">
        <f t="shared" si="59"/>
        <v>5.8890986691776184E-2</v>
      </c>
      <c r="M250" s="10">
        <f t="shared" si="60"/>
        <v>-0.10742322935302061</v>
      </c>
      <c r="N250" s="10">
        <f t="shared" si="61"/>
        <v>-0.12896485826330195</v>
      </c>
      <c r="O250" s="10">
        <f t="shared" si="62"/>
        <v>-0.36245187320554056</v>
      </c>
      <c r="Y250" s="7">
        <f t="shared" si="52"/>
        <v>0.12939098669177618</v>
      </c>
      <c r="Z250" s="7">
        <f t="shared" si="53"/>
        <v>-3.6923229353020615E-2</v>
      </c>
      <c r="AA250" s="7">
        <f t="shared" si="54"/>
        <v>-5.8464858263301944E-2</v>
      </c>
      <c r="AB250" s="7">
        <f t="shared" si="55"/>
        <v>-0.29195187320554056</v>
      </c>
      <c r="AC250" s="7">
        <f t="shared" si="63"/>
        <v>7.8490986691776177E-2</v>
      </c>
      <c r="AD250" s="7">
        <f t="shared" si="64"/>
        <v>-8.7823229353020615E-2</v>
      </c>
      <c r="AE250" s="7">
        <f t="shared" si="65"/>
        <v>-0.10936485826330195</v>
      </c>
      <c r="AF250" s="7">
        <f t="shared" si="66"/>
        <v>-0.34285187320554056</v>
      </c>
    </row>
    <row r="251" spans="1:32" x14ac:dyDescent="0.3">
      <c r="A251" s="1">
        <v>42278</v>
      </c>
      <c r="B251">
        <f>AEP!F251</f>
        <v>42.909996</v>
      </c>
      <c r="C251">
        <f>DFSVX!F251</f>
        <v>21.209441999999999</v>
      </c>
      <c r="D251">
        <f>DFLVX!F251</f>
        <v>22.547768000000001</v>
      </c>
      <c r="E251">
        <f>FSAGX!F251</f>
        <v>12.921564999999999</v>
      </c>
      <c r="F251" s="5">
        <f>'FRED Graph'!B261</f>
        <v>0.26</v>
      </c>
      <c r="G251" s="9">
        <f t="shared" si="51"/>
        <v>2.5999999999999999E-3</v>
      </c>
      <c r="H251" s="10">
        <f t="shared" si="56"/>
        <v>6.9888458667668055E-3</v>
      </c>
      <c r="I251" s="10">
        <f t="shared" si="57"/>
        <v>-2.839849243425021E-2</v>
      </c>
      <c r="J251" s="10">
        <f t="shared" si="58"/>
        <v>1.1443360405765837E-2</v>
      </c>
      <c r="K251" s="10">
        <f t="shared" si="58"/>
        <v>-7.2389573887856606E-2</v>
      </c>
      <c r="L251" s="10">
        <f t="shared" si="59"/>
        <v>-6.3511154133233189E-2</v>
      </c>
      <c r="M251" s="10">
        <f t="shared" si="60"/>
        <v>-9.8898492434250196E-2</v>
      </c>
      <c r="N251" s="10">
        <f t="shared" si="61"/>
        <v>-5.9056639594234156E-2</v>
      </c>
      <c r="O251" s="10">
        <f t="shared" si="62"/>
        <v>-0.14288957388785661</v>
      </c>
      <c r="Y251" s="7">
        <f t="shared" si="52"/>
        <v>6.9888458667668055E-3</v>
      </c>
      <c r="Z251" s="7">
        <f t="shared" si="53"/>
        <v>-2.839849243425021E-2</v>
      </c>
      <c r="AA251" s="7">
        <f t="shared" si="54"/>
        <v>1.1443360405765837E-2</v>
      </c>
      <c r="AB251" s="7">
        <f t="shared" si="55"/>
        <v>-7.2389573887856606E-2</v>
      </c>
      <c r="AC251" s="7">
        <f t="shared" si="63"/>
        <v>-4.3911154133233196E-2</v>
      </c>
      <c r="AD251" s="7">
        <f t="shared" si="64"/>
        <v>-7.9298492434250217E-2</v>
      </c>
      <c r="AE251" s="7">
        <f t="shared" si="65"/>
        <v>-3.9456639594234164E-2</v>
      </c>
      <c r="AF251" s="7">
        <f t="shared" si="66"/>
        <v>-0.12328957388785661</v>
      </c>
    </row>
    <row r="252" spans="1:32" x14ac:dyDescent="0.3">
      <c r="A252" s="1">
        <v>42309</v>
      </c>
      <c r="B252">
        <f>AEP!F252</f>
        <v>42.425227999999997</v>
      </c>
      <c r="C252">
        <f>DFSVX!F252</f>
        <v>21.882656000000001</v>
      </c>
      <c r="D252">
        <f>DFLVX!F252</f>
        <v>22.629090999999999</v>
      </c>
      <c r="E252">
        <f>FSAGX!F252</f>
        <v>11.859641999999999</v>
      </c>
      <c r="F252" s="5">
        <f>'FRED Graph'!B262</f>
        <v>0.48</v>
      </c>
      <c r="G252" s="9">
        <f t="shared" si="51"/>
        <v>4.7999999999999996E-3</v>
      </c>
      <c r="H252" s="10">
        <f t="shared" si="56"/>
        <v>9.2794689703124579E-3</v>
      </c>
      <c r="I252" s="10">
        <f t="shared" si="57"/>
        <v>5.2480164495210058E-3</v>
      </c>
      <c r="J252" s="10">
        <f t="shared" si="58"/>
        <v>3.4954351762027779E-3</v>
      </c>
      <c r="K252" s="10">
        <f t="shared" si="58"/>
        <v>-0.18913964024882268</v>
      </c>
      <c r="L252" s="10">
        <f t="shared" si="59"/>
        <v>-6.1220531029687539E-2</v>
      </c>
      <c r="M252" s="10">
        <f t="shared" si="60"/>
        <v>-6.5251983550478981E-2</v>
      </c>
      <c r="N252" s="10">
        <f t="shared" si="61"/>
        <v>-6.7004564823797214E-2</v>
      </c>
      <c r="O252" s="10">
        <f t="shared" si="62"/>
        <v>-0.25963964024882269</v>
      </c>
      <c r="Y252" s="7">
        <f t="shared" si="52"/>
        <v>9.2794689703124579E-3</v>
      </c>
      <c r="Z252" s="7">
        <f t="shared" si="53"/>
        <v>5.2480164495210058E-3</v>
      </c>
      <c r="AA252" s="7">
        <f t="shared" si="54"/>
        <v>3.4954351762027779E-3</v>
      </c>
      <c r="AB252" s="7">
        <f t="shared" si="55"/>
        <v>-0.18913964024882268</v>
      </c>
      <c r="AC252" s="7">
        <f t="shared" si="63"/>
        <v>-4.1620531029687546E-2</v>
      </c>
      <c r="AD252" s="7">
        <f t="shared" si="64"/>
        <v>-4.5651983550478996E-2</v>
      </c>
      <c r="AE252" s="7">
        <f t="shared" si="65"/>
        <v>-4.7404564823797221E-2</v>
      </c>
      <c r="AF252" s="7">
        <f t="shared" si="66"/>
        <v>-0.24003964024882268</v>
      </c>
    </row>
    <row r="253" spans="1:32" x14ac:dyDescent="0.3">
      <c r="A253" s="1">
        <v>42339</v>
      </c>
      <c r="B253">
        <f>AEP!F253</f>
        <v>44.578999000000003</v>
      </c>
      <c r="C253">
        <f>DFSVX!F253</f>
        <v>19.548845</v>
      </c>
      <c r="D253">
        <f>DFLVX!F253</f>
        <v>20.887346000000001</v>
      </c>
      <c r="E253">
        <f>FSAGX!F253</f>
        <v>12.047039</v>
      </c>
      <c r="F253" s="5">
        <f>'FRED Graph'!B263</f>
        <v>0.65</v>
      </c>
      <c r="G253" s="9">
        <f t="shared" si="51"/>
        <v>6.5000000000000006E-3</v>
      </c>
      <c r="H253" s="10">
        <f t="shared" si="56"/>
        <v>-3.7670652298718529E-3</v>
      </c>
      <c r="I253" s="10">
        <f t="shared" si="57"/>
        <v>-8.2702902621494379E-2</v>
      </c>
      <c r="J253" s="10">
        <f t="shared" si="58"/>
        <v>-6.9655241867145598E-2</v>
      </c>
      <c r="K253" s="10">
        <f t="shared" si="58"/>
        <v>-0.17883226331486085</v>
      </c>
      <c r="L253" s="10">
        <f t="shared" si="59"/>
        <v>-7.4267065229871851E-2</v>
      </c>
      <c r="M253" s="10">
        <f t="shared" si="60"/>
        <v>-0.15320290262149439</v>
      </c>
      <c r="N253" s="10">
        <f t="shared" si="61"/>
        <v>-0.14015524186714559</v>
      </c>
      <c r="O253" s="10">
        <f t="shared" si="62"/>
        <v>-0.24933226331486086</v>
      </c>
      <c r="Y253" s="7">
        <f t="shared" si="52"/>
        <v>-3.7670652298718529E-3</v>
      </c>
      <c r="Z253" s="7">
        <f t="shared" si="53"/>
        <v>-8.2702902621494379E-2</v>
      </c>
      <c r="AA253" s="7">
        <f t="shared" si="54"/>
        <v>-6.9655241867145598E-2</v>
      </c>
      <c r="AB253" s="7">
        <f t="shared" si="55"/>
        <v>-0.17883226331486085</v>
      </c>
      <c r="AC253" s="7">
        <f t="shared" si="63"/>
        <v>-5.4667065229871852E-2</v>
      </c>
      <c r="AD253" s="7">
        <f t="shared" si="64"/>
        <v>-0.13360290262149438</v>
      </c>
      <c r="AE253" s="7">
        <f t="shared" si="65"/>
        <v>-0.1205552418671456</v>
      </c>
      <c r="AF253" s="7">
        <f t="shared" si="66"/>
        <v>-0.22973226331486085</v>
      </c>
    </row>
    <row r="254" spans="1:32" x14ac:dyDescent="0.3">
      <c r="A254" s="1">
        <v>42370</v>
      </c>
      <c r="B254">
        <f>AEP!F254</f>
        <v>46.644623000000003</v>
      </c>
      <c r="C254">
        <f>DFSVX!F254</f>
        <v>19.060572000000001</v>
      </c>
      <c r="D254">
        <f>DFLVX!F254</f>
        <v>20.439657</v>
      </c>
      <c r="E254">
        <f>FSAGX!F254</f>
        <v>12.484304</v>
      </c>
      <c r="F254" s="5">
        <f>'FRED Graph'!B264</f>
        <v>0.54</v>
      </c>
      <c r="G254" s="9">
        <f t="shared" si="51"/>
        <v>5.4000000000000003E-3</v>
      </c>
      <c r="H254" s="10">
        <f t="shared" si="56"/>
        <v>7.7091180751034712E-3</v>
      </c>
      <c r="I254" s="10">
        <f t="shared" si="57"/>
        <v>-9.9398987350384743E-2</v>
      </c>
      <c r="J254" s="10">
        <f t="shared" si="58"/>
        <v>-5.3147877528644791E-2</v>
      </c>
      <c r="K254" s="10">
        <f t="shared" si="58"/>
        <v>-0.27286892121513434</v>
      </c>
      <c r="L254" s="10">
        <f t="shared" si="59"/>
        <v>-6.2790881924896527E-2</v>
      </c>
      <c r="M254" s="10">
        <f t="shared" si="60"/>
        <v>-0.16989898735038472</v>
      </c>
      <c r="N254" s="10">
        <f t="shared" si="61"/>
        <v>-0.12364787752864478</v>
      </c>
      <c r="O254" s="10">
        <f t="shared" si="62"/>
        <v>-0.34336892121513435</v>
      </c>
      <c r="Y254" s="7">
        <f t="shared" si="52"/>
        <v>7.7091180751034712E-3</v>
      </c>
      <c r="Z254" s="7">
        <f t="shared" si="53"/>
        <v>-9.9398987350384743E-2</v>
      </c>
      <c r="AA254" s="7">
        <f t="shared" si="54"/>
        <v>-5.3147877528644791E-2</v>
      </c>
      <c r="AB254" s="7">
        <f t="shared" si="55"/>
        <v>-0.27286892121513434</v>
      </c>
      <c r="AC254" s="7">
        <f t="shared" si="63"/>
        <v>-4.3190881924896528E-2</v>
      </c>
      <c r="AD254" s="7">
        <f t="shared" si="64"/>
        <v>-0.15029898735038474</v>
      </c>
      <c r="AE254" s="7">
        <f t="shared" si="65"/>
        <v>-0.10404787752864479</v>
      </c>
      <c r="AF254" s="7">
        <f t="shared" si="66"/>
        <v>-0.32376892121513434</v>
      </c>
    </row>
    <row r="255" spans="1:32" x14ac:dyDescent="0.3">
      <c r="A255" s="1">
        <v>42401</v>
      </c>
      <c r="B255">
        <f>AEP!F255</f>
        <v>47.24136</v>
      </c>
      <c r="C255">
        <f>DFSVX!F255</f>
        <v>19.282834999999999</v>
      </c>
      <c r="D255">
        <f>DFLVX!F255</f>
        <v>20.475235000000001</v>
      </c>
      <c r="E255">
        <f>FSAGX!F255</f>
        <v>16.169806999999999</v>
      </c>
      <c r="F255" s="5">
        <f>'FRED Graph'!B265</f>
        <v>0.53</v>
      </c>
      <c r="G255" s="9">
        <f t="shared" si="51"/>
        <v>5.3E-3</v>
      </c>
      <c r="H255" s="10">
        <f t="shared" si="56"/>
        <v>0.11330235469395199</v>
      </c>
      <c r="I255" s="10">
        <f t="shared" si="57"/>
        <v>-0.13962901420844598</v>
      </c>
      <c r="J255" s="10">
        <f t="shared" si="58"/>
        <v>-0.11403825856926107</v>
      </c>
      <c r="K255" s="10">
        <f t="shared" si="58"/>
        <v>-2.0540308397195329E-2</v>
      </c>
      <c r="L255" s="10">
        <f t="shared" si="59"/>
        <v>4.2802354693951994E-2</v>
      </c>
      <c r="M255" s="10">
        <f t="shared" si="60"/>
        <v>-0.21012901420844599</v>
      </c>
      <c r="N255" s="10">
        <f t="shared" si="61"/>
        <v>-0.18453825856926107</v>
      </c>
      <c r="O255" s="10">
        <f t="shared" si="62"/>
        <v>-9.1040308397195319E-2</v>
      </c>
      <c r="Y255" s="7">
        <f t="shared" si="52"/>
        <v>0.11330235469395199</v>
      </c>
      <c r="Z255" s="7">
        <f t="shared" si="53"/>
        <v>-0.13962901420844598</v>
      </c>
      <c r="AA255" s="7">
        <f t="shared" si="54"/>
        <v>-0.11403825856926107</v>
      </c>
      <c r="AB255" s="7">
        <f t="shared" si="55"/>
        <v>-2.0540308397195329E-2</v>
      </c>
      <c r="AC255" s="7">
        <f t="shared" si="63"/>
        <v>6.2402354693951986E-2</v>
      </c>
      <c r="AD255" s="7">
        <f t="shared" si="64"/>
        <v>-0.19052901420844598</v>
      </c>
      <c r="AE255" s="7">
        <f t="shared" si="65"/>
        <v>-0.16493825856926109</v>
      </c>
      <c r="AF255" s="7">
        <f t="shared" si="66"/>
        <v>-7.1440308397195326E-2</v>
      </c>
    </row>
    <row r="256" spans="1:32" x14ac:dyDescent="0.3">
      <c r="A256" s="1">
        <v>42430</v>
      </c>
      <c r="B256">
        <f>AEP!F256</f>
        <v>51.255561999999998</v>
      </c>
      <c r="C256">
        <f>DFSVX!F256</f>
        <v>20.926216</v>
      </c>
      <c r="D256">
        <f>DFLVX!F256</f>
        <v>21.834558000000001</v>
      </c>
      <c r="E256">
        <f>FSAGX!F256</f>
        <v>16.990788999999999</v>
      </c>
      <c r="F256" s="5">
        <f>'FRED Graph'!B266</f>
        <v>0.66</v>
      </c>
      <c r="G256" s="9">
        <f t="shared" si="51"/>
        <v>6.6E-3</v>
      </c>
      <c r="H256" s="10">
        <f t="shared" si="56"/>
        <v>0.22596864692815391</v>
      </c>
      <c r="I256" s="10">
        <f t="shared" si="57"/>
        <v>-8.2465006898102988E-2</v>
      </c>
      <c r="J256" s="10">
        <f t="shared" si="58"/>
        <v>-3.2845643203666335E-2</v>
      </c>
      <c r="K256" s="10">
        <f t="shared" si="58"/>
        <v>0.17097163113528932</v>
      </c>
      <c r="L256" s="10">
        <f t="shared" si="59"/>
        <v>0.15546864692815393</v>
      </c>
      <c r="M256" s="10">
        <f t="shared" si="60"/>
        <v>-0.152965006898103</v>
      </c>
      <c r="N256" s="10">
        <f t="shared" si="61"/>
        <v>-0.10334564320366632</v>
      </c>
      <c r="O256" s="10">
        <f t="shared" si="62"/>
        <v>0.10047163113528933</v>
      </c>
      <c r="Y256" s="7">
        <f t="shared" si="52"/>
        <v>0.22596864692815391</v>
      </c>
      <c r="Z256" s="7">
        <f t="shared" si="53"/>
        <v>-8.2465006898102988E-2</v>
      </c>
      <c r="AA256" s="7">
        <f t="shared" si="54"/>
        <v>-3.2845643203666335E-2</v>
      </c>
      <c r="AB256" s="7">
        <f t="shared" si="55"/>
        <v>0.17097163113528932</v>
      </c>
      <c r="AC256" s="7">
        <f t="shared" si="63"/>
        <v>0.17506864692815391</v>
      </c>
      <c r="AD256" s="7">
        <f t="shared" si="64"/>
        <v>-0.13336500689810299</v>
      </c>
      <c r="AE256" s="7">
        <f t="shared" si="65"/>
        <v>-8.3745643203666342E-2</v>
      </c>
      <c r="AF256" s="7">
        <f t="shared" si="66"/>
        <v>0.12007163113528932</v>
      </c>
    </row>
    <row r="257" spans="1:32" x14ac:dyDescent="0.3">
      <c r="A257" s="1">
        <v>42461</v>
      </c>
      <c r="B257">
        <f>AEP!F257</f>
        <v>49.016990999999997</v>
      </c>
      <c r="C257">
        <f>DFSVX!F257</f>
        <v>21.351606</v>
      </c>
      <c r="D257">
        <f>DFLVX!F257</f>
        <v>22.557085000000001</v>
      </c>
      <c r="E257">
        <f>FSAGX!F257</f>
        <v>20.783377000000002</v>
      </c>
      <c r="F257" s="5">
        <f>'FRED Graph'!B267</f>
        <v>0.56000000000000005</v>
      </c>
      <c r="G257" s="9">
        <f t="shared" si="51"/>
        <v>5.6000000000000008E-3</v>
      </c>
      <c r="H257" s="10">
        <f t="shared" si="56"/>
        <v>0.15964331232251766</v>
      </c>
      <c r="I257" s="10">
        <f t="shared" si="57"/>
        <v>-5.1234209236755611E-2</v>
      </c>
      <c r="J257" s="10">
        <f t="shared" si="58"/>
        <v>-2.4809442551670221E-2</v>
      </c>
      <c r="K257" s="10">
        <f t="shared" si="58"/>
        <v>0.31730778433458351</v>
      </c>
      <c r="L257" s="10">
        <f t="shared" si="59"/>
        <v>8.9143312322517668E-2</v>
      </c>
      <c r="M257" s="10">
        <f t="shared" si="60"/>
        <v>-0.1217342092367556</v>
      </c>
      <c r="N257" s="10">
        <f t="shared" si="61"/>
        <v>-9.5309442551670218E-2</v>
      </c>
      <c r="O257" s="10">
        <f t="shared" si="62"/>
        <v>0.2468077843345835</v>
      </c>
      <c r="Y257" s="7">
        <f t="shared" si="52"/>
        <v>0.15964331232251766</v>
      </c>
      <c r="Z257" s="7">
        <f t="shared" si="53"/>
        <v>-5.1234209236755611E-2</v>
      </c>
      <c r="AA257" s="7">
        <f t="shared" si="54"/>
        <v>-2.4809442551670221E-2</v>
      </c>
      <c r="AB257" s="7">
        <f t="shared" si="55"/>
        <v>0.31730778433458351</v>
      </c>
      <c r="AC257" s="7">
        <f t="shared" si="63"/>
        <v>0.10874331232251766</v>
      </c>
      <c r="AD257" s="7">
        <f t="shared" si="64"/>
        <v>-0.10213420923675562</v>
      </c>
      <c r="AE257" s="7">
        <f t="shared" si="65"/>
        <v>-7.5709442551670225E-2</v>
      </c>
      <c r="AF257" s="7">
        <f t="shared" si="66"/>
        <v>0.26640778433458351</v>
      </c>
    </row>
    <row r="258" spans="1:32" x14ac:dyDescent="0.3">
      <c r="A258" s="1">
        <v>42491</v>
      </c>
      <c r="B258">
        <f>AEP!F258</f>
        <v>49.966461000000002</v>
      </c>
      <c r="C258">
        <f>DFSVX!F258</f>
        <v>21.452856000000001</v>
      </c>
      <c r="D258">
        <f>DFLVX!F258</f>
        <v>22.857752000000001</v>
      </c>
      <c r="E258">
        <f>FSAGX!F258</f>
        <v>18.677022999999998</v>
      </c>
      <c r="F258" s="5">
        <f>'FRED Graph'!B268</f>
        <v>0.59</v>
      </c>
      <c r="G258" s="9">
        <f t="shared" si="51"/>
        <v>5.8999999999999999E-3</v>
      </c>
      <c r="H258" s="10">
        <f t="shared" si="56"/>
        <v>0.1942855376859747</v>
      </c>
      <c r="I258" s="10">
        <f t="shared" si="57"/>
        <v>-5.9509308960696596E-2</v>
      </c>
      <c r="J258" s="10">
        <f t="shared" si="58"/>
        <v>-2.2305517399668861E-2</v>
      </c>
      <c r="K258" s="10">
        <f t="shared" si="58"/>
        <v>0.20840687048691922</v>
      </c>
      <c r="L258" s="10">
        <f t="shared" si="59"/>
        <v>0.12378553768597471</v>
      </c>
      <c r="M258" s="10">
        <f t="shared" si="60"/>
        <v>-0.1300093089606966</v>
      </c>
      <c r="N258" s="10">
        <f t="shared" si="61"/>
        <v>-9.2805517399668858E-2</v>
      </c>
      <c r="O258" s="10">
        <f t="shared" si="62"/>
        <v>0.13790687048691924</v>
      </c>
      <c r="Y258" s="7">
        <f t="shared" si="52"/>
        <v>0.1942855376859747</v>
      </c>
      <c r="Z258" s="7">
        <f t="shared" si="53"/>
        <v>-5.9509308960696596E-2</v>
      </c>
      <c r="AA258" s="7">
        <f t="shared" si="54"/>
        <v>-2.2305517399668861E-2</v>
      </c>
      <c r="AB258" s="7">
        <f t="shared" si="55"/>
        <v>0.20840687048691922</v>
      </c>
      <c r="AC258" s="7">
        <f t="shared" si="63"/>
        <v>0.1433855376859747</v>
      </c>
      <c r="AD258" s="7">
        <f t="shared" si="64"/>
        <v>-0.11040930896069659</v>
      </c>
      <c r="AE258" s="7">
        <f t="shared" si="65"/>
        <v>-7.3205517399668865E-2</v>
      </c>
      <c r="AF258" s="7">
        <f t="shared" si="66"/>
        <v>0.15750687048691922</v>
      </c>
    </row>
    <row r="259" spans="1:32" x14ac:dyDescent="0.3">
      <c r="A259" s="1">
        <v>42522</v>
      </c>
      <c r="B259">
        <f>AEP!F259</f>
        <v>54.573039999999999</v>
      </c>
      <c r="C259">
        <f>DFSVX!F259</f>
        <v>21.149086</v>
      </c>
      <c r="D259">
        <f>DFLVX!F259</f>
        <v>22.714579000000001</v>
      </c>
      <c r="E259">
        <f>FSAGX!F259</f>
        <v>23.028072000000002</v>
      </c>
      <c r="F259" s="5">
        <f>'FRED Graph'!B269</f>
        <v>0.55000000000000004</v>
      </c>
      <c r="G259" s="9">
        <f t="shared" ref="G259:G322" si="67">F259/100</f>
        <v>5.5000000000000005E-3</v>
      </c>
      <c r="H259" s="10">
        <f t="shared" si="56"/>
        <v>0.37300417586889245</v>
      </c>
      <c r="I259" s="10">
        <f t="shared" si="57"/>
        <v>-7.0751144530365212E-2</v>
      </c>
      <c r="J259" s="10">
        <f t="shared" si="58"/>
        <v>-7.9273381421905084E-3</v>
      </c>
      <c r="K259" s="10">
        <f t="shared" si="58"/>
        <v>0.59884912106273014</v>
      </c>
      <c r="L259" s="10">
        <f t="shared" si="59"/>
        <v>0.30250417586889244</v>
      </c>
      <c r="M259" s="10">
        <f t="shared" si="60"/>
        <v>-0.14125114453036519</v>
      </c>
      <c r="N259" s="10">
        <f t="shared" si="61"/>
        <v>-7.8427338142190495E-2</v>
      </c>
      <c r="O259" s="10">
        <f t="shared" si="62"/>
        <v>0.52834912106273013</v>
      </c>
      <c r="Y259" s="7">
        <f t="shared" si="52"/>
        <v>0.37300417586889245</v>
      </c>
      <c r="Z259" s="7">
        <f t="shared" si="53"/>
        <v>-7.0751144530365212E-2</v>
      </c>
      <c r="AA259" s="7">
        <f t="shared" si="54"/>
        <v>-7.9273381421905084E-3</v>
      </c>
      <c r="AB259" s="7">
        <f t="shared" si="55"/>
        <v>0.59884912106273014</v>
      </c>
      <c r="AC259" s="7">
        <f t="shared" si="63"/>
        <v>0.32210417586889245</v>
      </c>
      <c r="AD259" s="7">
        <f t="shared" si="64"/>
        <v>-0.12165114453036521</v>
      </c>
      <c r="AE259" s="7">
        <f t="shared" si="65"/>
        <v>-5.8827338142190509E-2</v>
      </c>
      <c r="AF259" s="7">
        <f t="shared" si="66"/>
        <v>0.54794912106273008</v>
      </c>
    </row>
    <row r="260" spans="1:32" x14ac:dyDescent="0.3">
      <c r="A260" s="1">
        <v>42552</v>
      </c>
      <c r="B260">
        <f>AEP!F260</f>
        <v>53.957939000000003</v>
      </c>
      <c r="C260">
        <f>DFSVX!F260</f>
        <v>22.23415</v>
      </c>
      <c r="D260">
        <f>DFLVX!F260</f>
        <v>23.620730999999999</v>
      </c>
      <c r="E260">
        <f>FSAGX!F260</f>
        <v>25.059166000000001</v>
      </c>
      <c r="F260" s="5">
        <f>'FRED Graph'!B270</f>
        <v>0.51</v>
      </c>
      <c r="G260" s="9">
        <f t="shared" si="67"/>
        <v>5.1000000000000004E-3</v>
      </c>
      <c r="H260" s="10">
        <f t="shared" si="56"/>
        <v>0.27113837687191755</v>
      </c>
      <c r="I260" s="10">
        <f t="shared" si="57"/>
        <v>1.1353243736488827E-2</v>
      </c>
      <c r="J260" s="10">
        <f t="shared" si="58"/>
        <v>2.9703049282713275E-2</v>
      </c>
      <c r="K260" s="10">
        <f t="shared" si="58"/>
        <v>1.105058339609797</v>
      </c>
      <c r="L260" s="10">
        <f t="shared" si="59"/>
        <v>0.20063837687191755</v>
      </c>
      <c r="M260" s="10">
        <f t="shared" si="60"/>
        <v>-5.9146756263511166E-2</v>
      </c>
      <c r="N260" s="10">
        <f t="shared" si="61"/>
        <v>-4.0796950717286715E-2</v>
      </c>
      <c r="O260" s="10">
        <f t="shared" si="62"/>
        <v>1.034558339609797</v>
      </c>
      <c r="Y260" s="7">
        <f t="shared" si="52"/>
        <v>0.27113837687191755</v>
      </c>
      <c r="Z260" s="7">
        <f t="shared" si="53"/>
        <v>1.1353243736488827E-2</v>
      </c>
      <c r="AA260" s="7">
        <f t="shared" si="54"/>
        <v>2.9703049282713275E-2</v>
      </c>
      <c r="AB260" s="7">
        <f t="shared" si="55"/>
        <v>1.105058339609797</v>
      </c>
      <c r="AC260" s="7">
        <f t="shared" si="63"/>
        <v>0.22023837687191755</v>
      </c>
      <c r="AD260" s="7">
        <f t="shared" si="64"/>
        <v>-3.9546756263511174E-2</v>
      </c>
      <c r="AE260" s="7">
        <f t="shared" si="65"/>
        <v>-2.1196950717286726E-2</v>
      </c>
      <c r="AF260" s="7">
        <f t="shared" si="66"/>
        <v>1.0541583396097971</v>
      </c>
    </row>
    <row r="261" spans="1:32" x14ac:dyDescent="0.3">
      <c r="A261" s="1">
        <v>42583</v>
      </c>
      <c r="B261">
        <f>AEP!F261</f>
        <v>50.275097000000002</v>
      </c>
      <c r="C261">
        <f>DFSVX!F261</f>
        <v>22.619945999999999</v>
      </c>
      <c r="D261">
        <f>DFLVX!F261</f>
        <v>23.894217999999999</v>
      </c>
      <c r="E261">
        <f>FSAGX!F261</f>
        <v>21.439309999999999</v>
      </c>
      <c r="F261" s="5">
        <f>'FRED Graph'!B271</f>
        <v>0.56999999999999995</v>
      </c>
      <c r="G261" s="9">
        <f t="shared" si="67"/>
        <v>5.6999999999999993E-3</v>
      </c>
      <c r="H261" s="10">
        <f t="shared" si="56"/>
        <v>0.234117975559479</v>
      </c>
      <c r="I261" s="10">
        <f t="shared" si="57"/>
        <v>7.2188002500450682E-2</v>
      </c>
      <c r="J261" s="10">
        <f t="shared" si="58"/>
        <v>0.10908977905623693</v>
      </c>
      <c r="K261" s="10">
        <f t="shared" si="58"/>
        <v>0.73466014292635562</v>
      </c>
      <c r="L261" s="10">
        <f t="shared" si="59"/>
        <v>0.16361797555947899</v>
      </c>
      <c r="M261" s="10">
        <f t="shared" si="60"/>
        <v>1.6880025004506888E-3</v>
      </c>
      <c r="N261" s="10">
        <f t="shared" si="61"/>
        <v>3.8589779056236936E-2</v>
      </c>
      <c r="O261" s="10">
        <f t="shared" si="62"/>
        <v>0.66416014292635561</v>
      </c>
      <c r="Y261" s="7">
        <f t="shared" si="52"/>
        <v>0.234117975559479</v>
      </c>
      <c r="Z261" s="7">
        <f t="shared" si="53"/>
        <v>7.2188002500450682E-2</v>
      </c>
      <c r="AA261" s="7">
        <f t="shared" si="54"/>
        <v>0.10908977905623693</v>
      </c>
      <c r="AB261" s="7">
        <f t="shared" si="55"/>
        <v>0.73466014292635562</v>
      </c>
      <c r="AC261" s="7">
        <f t="shared" si="63"/>
        <v>0.183217975559479</v>
      </c>
      <c r="AD261" s="7">
        <f t="shared" si="64"/>
        <v>2.1288002500450681E-2</v>
      </c>
      <c r="AE261" s="7">
        <f t="shared" si="65"/>
        <v>5.8189779056236929E-2</v>
      </c>
      <c r="AF261" s="7">
        <f t="shared" si="66"/>
        <v>0.68376014292635556</v>
      </c>
    </row>
    <row r="262" spans="1:32" x14ac:dyDescent="0.3">
      <c r="A262" s="1">
        <v>42614</v>
      </c>
      <c r="B262">
        <f>AEP!F262</f>
        <v>50.410857999999998</v>
      </c>
      <c r="C262">
        <f>DFSVX!F262</f>
        <v>22.883922999999999</v>
      </c>
      <c r="D262">
        <f>DFLVX!F262</f>
        <v>23.894217999999999</v>
      </c>
      <c r="E262">
        <f>FSAGX!F262</f>
        <v>22.152446999999999</v>
      </c>
      <c r="F262" s="5">
        <f>'FRED Graph'!B272</f>
        <v>0.59</v>
      </c>
      <c r="G262" s="9">
        <f t="shared" si="67"/>
        <v>5.8999999999999999E-3</v>
      </c>
      <c r="H262" s="10">
        <f t="shared" si="56"/>
        <v>0.17046568533268</v>
      </c>
      <c r="I262" s="10">
        <f t="shared" si="57"/>
        <v>0.14062667288985836</v>
      </c>
      <c r="J262" s="10">
        <f t="shared" si="58"/>
        <v>0.15235710919094059</v>
      </c>
      <c r="K262" s="10">
        <f t="shared" si="58"/>
        <v>0.84429377761556079</v>
      </c>
      <c r="L262" s="10">
        <f t="shared" si="59"/>
        <v>9.9965685332680007E-2</v>
      </c>
      <c r="M262" s="10">
        <f t="shared" si="60"/>
        <v>7.0126672889858369E-2</v>
      </c>
      <c r="N262" s="10">
        <f t="shared" si="61"/>
        <v>8.1857109190940594E-2</v>
      </c>
      <c r="O262" s="10">
        <f t="shared" si="62"/>
        <v>0.77379377761556078</v>
      </c>
      <c r="Y262" s="7">
        <f t="shared" si="52"/>
        <v>0.17046568533268</v>
      </c>
      <c r="Z262" s="7">
        <f t="shared" si="53"/>
        <v>0.14062667288985836</v>
      </c>
      <c r="AA262" s="7">
        <f t="shared" si="54"/>
        <v>0.15235710919094059</v>
      </c>
      <c r="AB262" s="7">
        <f t="shared" si="55"/>
        <v>0.84429377761556079</v>
      </c>
      <c r="AC262" s="7">
        <f t="shared" si="63"/>
        <v>0.11956568533268</v>
      </c>
      <c r="AD262" s="7">
        <f t="shared" si="64"/>
        <v>8.9726672889858361E-2</v>
      </c>
      <c r="AE262" s="7">
        <f t="shared" si="65"/>
        <v>0.10145710919094059</v>
      </c>
      <c r="AF262" s="7">
        <f t="shared" si="66"/>
        <v>0.79339377761556085</v>
      </c>
    </row>
    <row r="263" spans="1:32" x14ac:dyDescent="0.3">
      <c r="A263" s="1">
        <v>42644</v>
      </c>
      <c r="B263">
        <f>AEP!F263</f>
        <v>50.905467999999999</v>
      </c>
      <c r="C263">
        <f>DFSVX!F263</f>
        <v>22.175037</v>
      </c>
      <c r="D263">
        <f>DFLVX!F263</f>
        <v>23.595942999999998</v>
      </c>
      <c r="E263">
        <f>FSAGX!F263</f>
        <v>20.5366</v>
      </c>
      <c r="F263" s="5">
        <f>'FRED Graph'!B273</f>
        <v>0.66</v>
      </c>
      <c r="G263" s="9">
        <f t="shared" si="67"/>
        <v>6.6E-3</v>
      </c>
      <c r="H263" s="10">
        <f t="shared" si="56"/>
        <v>0.18633122221684661</v>
      </c>
      <c r="I263" s="10">
        <f t="shared" si="57"/>
        <v>4.5526657419841618E-2</v>
      </c>
      <c r="J263" s="10">
        <f t="shared" si="58"/>
        <v>4.6486862912550678E-2</v>
      </c>
      <c r="K263" s="10">
        <f t="shared" si="58"/>
        <v>0.58932760853658217</v>
      </c>
      <c r="L263" s="10">
        <f t="shared" si="59"/>
        <v>0.11583122221684662</v>
      </c>
      <c r="M263" s="10">
        <f t="shared" si="60"/>
        <v>-2.4973342580158375E-2</v>
      </c>
      <c r="N263" s="10">
        <f t="shared" si="61"/>
        <v>-2.4013137087449316E-2</v>
      </c>
      <c r="O263" s="10">
        <f t="shared" si="62"/>
        <v>0.51882760853658216</v>
      </c>
      <c r="Y263" s="7">
        <f t="shared" si="52"/>
        <v>0.18633122221684661</v>
      </c>
      <c r="Z263" s="7">
        <f t="shared" si="53"/>
        <v>4.5526657419841618E-2</v>
      </c>
      <c r="AA263" s="7">
        <f t="shared" si="54"/>
        <v>4.6486862912550678E-2</v>
      </c>
      <c r="AB263" s="7">
        <f t="shared" si="55"/>
        <v>0.58932760853658217</v>
      </c>
      <c r="AC263" s="7">
        <f t="shared" si="63"/>
        <v>0.13543122221684661</v>
      </c>
      <c r="AD263" s="7">
        <f t="shared" si="64"/>
        <v>-5.3733425801583828E-3</v>
      </c>
      <c r="AE263" s="7">
        <f t="shared" si="65"/>
        <v>-4.4131370874493231E-3</v>
      </c>
      <c r="AF263" s="7">
        <f t="shared" si="66"/>
        <v>0.53842760853658223</v>
      </c>
    </row>
    <row r="264" spans="1:32" x14ac:dyDescent="0.3">
      <c r="A264" s="1">
        <v>42675</v>
      </c>
      <c r="B264">
        <f>AEP!F264</f>
        <v>46.359772</v>
      </c>
      <c r="C264">
        <f>DFSVX!F264</f>
        <v>25.472515000000001</v>
      </c>
      <c r="D264">
        <f>DFLVX!F264</f>
        <v>25.44717</v>
      </c>
      <c r="E264">
        <f>FSAGX!F264</f>
        <v>17.341011000000002</v>
      </c>
      <c r="F264" s="5">
        <f>'FRED Graph'!B274</f>
        <v>0.74</v>
      </c>
      <c r="G264" s="9">
        <f t="shared" si="67"/>
        <v>7.4000000000000003E-3</v>
      </c>
      <c r="H264" s="10">
        <f t="shared" si="56"/>
        <v>9.2740668358930273E-2</v>
      </c>
      <c r="I264" s="10">
        <f t="shared" si="57"/>
        <v>0.16405042422638277</v>
      </c>
      <c r="J264" s="10">
        <f t="shared" si="58"/>
        <v>0.12453346004927909</v>
      </c>
      <c r="K264" s="10">
        <f t="shared" si="58"/>
        <v>0.4621867169346261</v>
      </c>
      <c r="L264" s="10">
        <f t="shared" si="59"/>
        <v>2.2240668358930279E-2</v>
      </c>
      <c r="M264" s="10">
        <f t="shared" si="60"/>
        <v>9.3550424226382781E-2</v>
      </c>
      <c r="N264" s="10">
        <f t="shared" si="61"/>
        <v>5.40334600492791E-2</v>
      </c>
      <c r="O264" s="10">
        <f t="shared" si="62"/>
        <v>0.39168671693462609</v>
      </c>
      <c r="Y264" s="7">
        <f t="shared" si="52"/>
        <v>9.2740668358930273E-2</v>
      </c>
      <c r="Z264" s="7">
        <f t="shared" si="53"/>
        <v>0.16405042422638277</v>
      </c>
      <c r="AA264" s="7">
        <f t="shared" si="54"/>
        <v>0.12453346004927909</v>
      </c>
      <c r="AB264" s="7">
        <f t="shared" si="55"/>
        <v>0.4621867169346261</v>
      </c>
      <c r="AC264" s="7">
        <f t="shared" si="63"/>
        <v>4.1840668358930272E-2</v>
      </c>
      <c r="AD264" s="7">
        <f t="shared" si="64"/>
        <v>0.11315042422638277</v>
      </c>
      <c r="AE264" s="7">
        <f t="shared" si="65"/>
        <v>7.3633460049279092E-2</v>
      </c>
      <c r="AF264" s="7">
        <f t="shared" si="66"/>
        <v>0.4112867169346261</v>
      </c>
    </row>
    <row r="265" spans="1:32" x14ac:dyDescent="0.3">
      <c r="A265" s="1">
        <v>42705</v>
      </c>
      <c r="B265">
        <f>AEP!F265</f>
        <v>49.894984999999998</v>
      </c>
      <c r="C265">
        <f>DFSVX!F265</f>
        <v>25.316777999999999</v>
      </c>
      <c r="D265">
        <f>DFLVX!F265</f>
        <v>25.374856999999999</v>
      </c>
      <c r="E265">
        <f>FSAGX!F265</f>
        <v>17.295878999999999</v>
      </c>
      <c r="F265" s="5">
        <f>'FRED Graph'!B275</f>
        <v>0.87</v>
      </c>
      <c r="G265" s="9">
        <f t="shared" si="67"/>
        <v>8.6999999999999994E-3</v>
      </c>
      <c r="H265" s="10">
        <f t="shared" si="56"/>
        <v>0.11924866235780653</v>
      </c>
      <c r="I265" s="10">
        <f t="shared" si="57"/>
        <v>0.29505236754396486</v>
      </c>
      <c r="J265" s="10">
        <f t="shared" si="58"/>
        <v>0.21484352296361622</v>
      </c>
      <c r="K265" s="10">
        <f t="shared" si="58"/>
        <v>0.43569544350275613</v>
      </c>
      <c r="L265" s="10">
        <f t="shared" si="59"/>
        <v>4.8748662357806533E-2</v>
      </c>
      <c r="M265" s="10">
        <f t="shared" si="60"/>
        <v>0.22455236754396485</v>
      </c>
      <c r="N265" s="10">
        <f t="shared" si="61"/>
        <v>0.14434352296361624</v>
      </c>
      <c r="O265" s="10">
        <f t="shared" si="62"/>
        <v>0.36519544350275612</v>
      </c>
      <c r="Y265" s="7">
        <f t="shared" si="52"/>
        <v>0.11924866235780653</v>
      </c>
      <c r="Z265" s="7">
        <f t="shared" si="53"/>
        <v>0.29505236754396486</v>
      </c>
      <c r="AA265" s="7">
        <f t="shared" si="54"/>
        <v>0.21484352296361622</v>
      </c>
      <c r="AB265" s="7">
        <f t="shared" si="55"/>
        <v>0.43569544350275613</v>
      </c>
      <c r="AC265" s="7">
        <f t="shared" si="63"/>
        <v>6.8348662357806525E-2</v>
      </c>
      <c r="AD265" s="7">
        <f t="shared" si="64"/>
        <v>0.24415236754396485</v>
      </c>
      <c r="AE265" s="7">
        <f t="shared" si="65"/>
        <v>0.16394352296361622</v>
      </c>
      <c r="AF265" s="7">
        <f t="shared" si="66"/>
        <v>0.38479544350275613</v>
      </c>
    </row>
    <row r="266" spans="1:32" x14ac:dyDescent="0.3">
      <c r="A266" s="1">
        <v>42736</v>
      </c>
      <c r="B266">
        <f>AEP!F266</f>
        <v>50.766711999999998</v>
      </c>
      <c r="C266">
        <f>DFSVX!F266</f>
        <v>26.209862000000001</v>
      </c>
      <c r="D266">
        <f>DFLVX!F266</f>
        <v>26.463668999999999</v>
      </c>
      <c r="E266">
        <f>FSAGX!F266</f>
        <v>20.109324000000001</v>
      </c>
      <c r="F266" s="5">
        <f>'FRED Graph'!B276</f>
        <v>0.83</v>
      </c>
      <c r="G266" s="9">
        <f t="shared" si="67"/>
        <v>8.3000000000000001E-3</v>
      </c>
      <c r="H266" s="10">
        <f t="shared" si="56"/>
        <v>8.8372222453164548E-2</v>
      </c>
      <c r="I266" s="10">
        <f t="shared" si="57"/>
        <v>0.37508265754039283</v>
      </c>
      <c r="J266" s="10">
        <f t="shared" si="58"/>
        <v>0.29472177541922545</v>
      </c>
      <c r="K266" s="10">
        <f t="shared" si="58"/>
        <v>0.61076852982753393</v>
      </c>
      <c r="L266" s="10">
        <f t="shared" si="59"/>
        <v>1.7872222453164555E-2</v>
      </c>
      <c r="M266" s="10">
        <f t="shared" si="60"/>
        <v>0.30458265754039282</v>
      </c>
      <c r="N266" s="10">
        <f t="shared" si="61"/>
        <v>0.22422177541922544</v>
      </c>
      <c r="O266" s="10">
        <f t="shared" si="62"/>
        <v>0.54026852982753393</v>
      </c>
      <c r="Y266" s="7">
        <f t="shared" si="52"/>
        <v>8.8372222453164548E-2</v>
      </c>
      <c r="Z266" s="7">
        <f t="shared" si="53"/>
        <v>0.37508265754039283</v>
      </c>
      <c r="AA266" s="7">
        <f t="shared" si="54"/>
        <v>0.29472177541922545</v>
      </c>
      <c r="AB266" s="7">
        <f t="shared" si="55"/>
        <v>0.61076852982753393</v>
      </c>
      <c r="AC266" s="7">
        <f t="shared" si="63"/>
        <v>3.7472222453164547E-2</v>
      </c>
      <c r="AD266" s="7">
        <f t="shared" si="64"/>
        <v>0.32418265754039283</v>
      </c>
      <c r="AE266" s="7">
        <f t="shared" si="65"/>
        <v>0.24382177541922545</v>
      </c>
      <c r="AF266" s="7">
        <f t="shared" si="66"/>
        <v>0.55986852982753388</v>
      </c>
    </row>
    <row r="267" spans="1:32" x14ac:dyDescent="0.3">
      <c r="A267" s="1">
        <v>42767</v>
      </c>
      <c r="B267">
        <f>AEP!F267</f>
        <v>53.072845000000001</v>
      </c>
      <c r="C267">
        <f>DFSVX!F267</f>
        <v>26.294432</v>
      </c>
      <c r="D267">
        <f>DFLVX!F267</f>
        <v>27.259060000000002</v>
      </c>
      <c r="E267">
        <f>FSAGX!F267</f>
        <v>19.470198</v>
      </c>
      <c r="F267" s="5">
        <f>'FRED Graph'!B277</f>
        <v>0.82</v>
      </c>
      <c r="G267" s="9">
        <f t="shared" si="67"/>
        <v>8.199999999999999E-3</v>
      </c>
      <c r="H267" s="10">
        <f t="shared" si="56"/>
        <v>0.12344024388798291</v>
      </c>
      <c r="I267" s="10">
        <f t="shared" si="57"/>
        <v>0.36361857579551982</v>
      </c>
      <c r="J267" s="10">
        <f t="shared" si="58"/>
        <v>0.33131854164311175</v>
      </c>
      <c r="K267" s="10">
        <f t="shared" si="58"/>
        <v>0.2041082494058217</v>
      </c>
      <c r="L267" s="10">
        <f t="shared" si="59"/>
        <v>5.2940243887982921E-2</v>
      </c>
      <c r="M267" s="10">
        <f t="shared" si="60"/>
        <v>0.29311857579551981</v>
      </c>
      <c r="N267" s="10">
        <f t="shared" si="61"/>
        <v>0.26081854164311175</v>
      </c>
      <c r="O267" s="10">
        <f t="shared" si="62"/>
        <v>0.13360824940582172</v>
      </c>
      <c r="Y267" s="7">
        <f t="shared" si="52"/>
        <v>0.12344024388798291</v>
      </c>
      <c r="Z267" s="7">
        <f t="shared" si="53"/>
        <v>0.36361857579551982</v>
      </c>
      <c r="AA267" s="7">
        <f t="shared" si="54"/>
        <v>0.33131854164311175</v>
      </c>
      <c r="AB267" s="7">
        <f t="shared" si="55"/>
        <v>0.2041082494058217</v>
      </c>
      <c r="AC267" s="7">
        <f t="shared" si="63"/>
        <v>7.2540243887982914E-2</v>
      </c>
      <c r="AD267" s="7">
        <f t="shared" si="64"/>
        <v>0.31271857579551982</v>
      </c>
      <c r="AE267" s="7">
        <f t="shared" si="65"/>
        <v>0.28041854164311175</v>
      </c>
      <c r="AF267" s="7">
        <f t="shared" si="66"/>
        <v>0.1532082494058217</v>
      </c>
    </row>
    <row r="268" spans="1:32" x14ac:dyDescent="0.3">
      <c r="A268" s="1">
        <v>42795</v>
      </c>
      <c r="B268">
        <f>AEP!F268</f>
        <v>53.695202000000002</v>
      </c>
      <c r="C268">
        <f>DFSVX!F268</f>
        <v>25.984338999999999</v>
      </c>
      <c r="D268">
        <f>DFLVX!F268</f>
        <v>26.887384000000001</v>
      </c>
      <c r="E268">
        <f>FSAGX!F268</f>
        <v>19.470198</v>
      </c>
      <c r="F268" s="5">
        <f>'FRED Graph'!B278</f>
        <v>1.01</v>
      </c>
      <c r="G268" s="9">
        <f t="shared" si="67"/>
        <v>1.01E-2</v>
      </c>
      <c r="H268" s="10">
        <f t="shared" si="56"/>
        <v>4.7597566094388047E-2</v>
      </c>
      <c r="I268" s="10">
        <f t="shared" si="57"/>
        <v>0.24171226178684185</v>
      </c>
      <c r="J268" s="10">
        <f t="shared" si="58"/>
        <v>0.23141416464670361</v>
      </c>
      <c r="K268" s="10">
        <f t="shared" si="58"/>
        <v>0.14592665473039543</v>
      </c>
      <c r="L268" s="10">
        <f t="shared" si="59"/>
        <v>-2.2902433905611946E-2</v>
      </c>
      <c r="M268" s="10">
        <f t="shared" si="60"/>
        <v>0.17121226178684185</v>
      </c>
      <c r="N268" s="10">
        <f t="shared" si="61"/>
        <v>0.16091416464670361</v>
      </c>
      <c r="O268" s="10">
        <f t="shared" si="62"/>
        <v>7.5426654730395434E-2</v>
      </c>
      <c r="Y268" s="7">
        <f t="shared" si="52"/>
        <v>4.7597566094388047E-2</v>
      </c>
      <c r="Z268" s="7">
        <f t="shared" si="53"/>
        <v>0.24171226178684185</v>
      </c>
      <c r="AA268" s="7">
        <f t="shared" si="54"/>
        <v>0.23141416464670361</v>
      </c>
      <c r="AB268" s="7">
        <f t="shared" si="55"/>
        <v>0.14592665473039543</v>
      </c>
      <c r="AC268" s="7">
        <f t="shared" si="63"/>
        <v>-3.3024339056119539E-3</v>
      </c>
      <c r="AD268" s="7">
        <f t="shared" si="64"/>
        <v>0.19081226178684185</v>
      </c>
      <c r="AE268" s="7">
        <f t="shared" si="65"/>
        <v>0.18051416464670361</v>
      </c>
      <c r="AF268" s="7">
        <f t="shared" si="66"/>
        <v>9.5026654730395427E-2</v>
      </c>
    </row>
    <row r="269" spans="1:32" x14ac:dyDescent="0.3">
      <c r="A269" s="1">
        <v>42826</v>
      </c>
      <c r="B269">
        <f>AEP!F269</f>
        <v>54.255108</v>
      </c>
      <c r="C269">
        <f>DFSVX!F269</f>
        <v>26.115627</v>
      </c>
      <c r="D269">
        <f>DFLVX!F269</f>
        <v>27.184446000000001</v>
      </c>
      <c r="E269">
        <f>FSAGX!F269</f>
        <v>18.719919000000001</v>
      </c>
      <c r="F269" s="5">
        <f>'FRED Graph'!B279</f>
        <v>1.04</v>
      </c>
      <c r="G269" s="9">
        <f t="shared" si="67"/>
        <v>1.04E-2</v>
      </c>
      <c r="H269" s="10">
        <f t="shared" si="56"/>
        <v>0.10686329154721069</v>
      </c>
      <c r="I269" s="10">
        <f t="shared" si="57"/>
        <v>0.22312237308987434</v>
      </c>
      <c r="J269" s="10">
        <f t="shared" si="58"/>
        <v>0.20514002584997132</v>
      </c>
      <c r="K269" s="10">
        <f t="shared" si="58"/>
        <v>-9.9284057638948695E-2</v>
      </c>
      <c r="L269" s="10">
        <f t="shared" si="59"/>
        <v>3.6363291547210699E-2</v>
      </c>
      <c r="M269" s="10">
        <f t="shared" si="60"/>
        <v>0.15262237308987436</v>
      </c>
      <c r="N269" s="10">
        <f t="shared" si="61"/>
        <v>0.13464002584997131</v>
      </c>
      <c r="O269" s="10">
        <f t="shared" si="62"/>
        <v>-0.16978405763894869</v>
      </c>
      <c r="Y269" s="7">
        <f t="shared" si="52"/>
        <v>0.10686329154721069</v>
      </c>
      <c r="Z269" s="7">
        <f t="shared" si="53"/>
        <v>0.22312237308987434</v>
      </c>
      <c r="AA269" s="7">
        <f t="shared" si="54"/>
        <v>0.20514002584997132</v>
      </c>
      <c r="AB269" s="7">
        <f t="shared" si="55"/>
        <v>-9.9284057638948695E-2</v>
      </c>
      <c r="AC269" s="7">
        <f t="shared" si="63"/>
        <v>5.5963291547210692E-2</v>
      </c>
      <c r="AD269" s="7">
        <f t="shared" si="64"/>
        <v>0.17222237308987434</v>
      </c>
      <c r="AE269" s="7">
        <f t="shared" si="65"/>
        <v>0.15424002584997132</v>
      </c>
      <c r="AF269" s="7">
        <f t="shared" si="66"/>
        <v>-0.15018405763894871</v>
      </c>
    </row>
    <row r="270" spans="1:32" x14ac:dyDescent="0.3">
      <c r="A270" s="1">
        <v>42856</v>
      </c>
      <c r="B270">
        <f>AEP!F270</f>
        <v>57.414580999999998</v>
      </c>
      <c r="C270">
        <f>DFSVX!F270</f>
        <v>25.199038999999999</v>
      </c>
      <c r="D270">
        <f>DFLVX!F270</f>
        <v>27.154578999999998</v>
      </c>
      <c r="E270">
        <f>FSAGX!F270</f>
        <v>18.870100000000001</v>
      </c>
      <c r="F270" s="5">
        <f>'FRED Graph'!B280</f>
        <v>1.1200000000000001</v>
      </c>
      <c r="G270" s="9">
        <f t="shared" si="67"/>
        <v>1.1200000000000002E-2</v>
      </c>
      <c r="H270" s="10">
        <f t="shared" si="56"/>
        <v>0.14906238806866862</v>
      </c>
      <c r="I270" s="10">
        <f t="shared" si="57"/>
        <v>0.17462397547440761</v>
      </c>
      <c r="J270" s="10">
        <f t="shared" si="58"/>
        <v>0.18798117155177799</v>
      </c>
      <c r="K270" s="10">
        <f t="shared" si="58"/>
        <v>1.0337675335089665E-2</v>
      </c>
      <c r="L270" s="10">
        <f t="shared" si="59"/>
        <v>7.8562388068668623E-2</v>
      </c>
      <c r="M270" s="10">
        <f t="shared" si="60"/>
        <v>0.10412397547440762</v>
      </c>
      <c r="N270" s="10">
        <f t="shared" si="61"/>
        <v>0.11748117155177799</v>
      </c>
      <c r="O270" s="10">
        <f t="shared" si="62"/>
        <v>-6.0162324664910324E-2</v>
      </c>
      <c r="Y270" s="7">
        <f t="shared" ref="Y270:Y333" si="68">(B270-B258)/B258</f>
        <v>0.14906238806866862</v>
      </c>
      <c r="Z270" s="7">
        <f t="shared" ref="Z270:Z333" si="69">(C270-C258)/C258</f>
        <v>0.17462397547440761</v>
      </c>
      <c r="AA270" s="7">
        <f t="shared" ref="AA270:AA333" si="70">(D270-D258)/D258</f>
        <v>0.18798117155177799</v>
      </c>
      <c r="AB270" s="7">
        <f t="shared" ref="AB270:AB333" si="71">(E270-E258)/E258</f>
        <v>1.0337675335089665E-2</v>
      </c>
      <c r="AC270" s="7">
        <f t="shared" si="63"/>
        <v>9.8162388068668616E-2</v>
      </c>
      <c r="AD270" s="7">
        <f t="shared" si="64"/>
        <v>0.12372397547440761</v>
      </c>
      <c r="AE270" s="7">
        <f t="shared" si="65"/>
        <v>0.13708117155177799</v>
      </c>
      <c r="AF270" s="7">
        <f t="shared" si="66"/>
        <v>-4.0562324664910332E-2</v>
      </c>
    </row>
    <row r="271" spans="1:32" x14ac:dyDescent="0.3">
      <c r="A271" s="1">
        <v>42887</v>
      </c>
      <c r="B271">
        <f>AEP!F271</f>
        <v>56.050297</v>
      </c>
      <c r="C271">
        <f>DFSVX!F271</f>
        <v>25.798347</v>
      </c>
      <c r="D271">
        <f>DFLVX!F271</f>
        <v>27.475624</v>
      </c>
      <c r="E271">
        <f>FSAGX!F271</f>
        <v>18.795849</v>
      </c>
      <c r="F271" s="5">
        <f>'FRED Graph'!B281</f>
        <v>1.2</v>
      </c>
      <c r="G271" s="9">
        <f t="shared" si="67"/>
        <v>1.2E-2</v>
      </c>
      <c r="H271" s="10">
        <f t="shared" ref="H271:H334" si="72">(B271-B259)/B259</f>
        <v>2.7069355124801579E-2</v>
      </c>
      <c r="I271" s="10">
        <f t="shared" ref="I271:I334" si="73">(C271-C259)/C259</f>
        <v>0.21983271522939568</v>
      </c>
      <c r="J271" s="10">
        <f t="shared" ref="J271:K334" si="74">(D271-D259)/D259</f>
        <v>0.20960304833296708</v>
      </c>
      <c r="K271" s="10">
        <f t="shared" si="74"/>
        <v>-0.18378538159859847</v>
      </c>
      <c r="L271" s="10">
        <f t="shared" ref="L271:L334" si="75">H271-$G$2</f>
        <v>-4.3430644875198418E-2</v>
      </c>
      <c r="M271" s="10">
        <f t="shared" ref="M271:M334" si="76">I271-$G$2</f>
        <v>0.14933271522939567</v>
      </c>
      <c r="N271" s="10">
        <f t="shared" ref="N271:N334" si="77">J271-$G$2</f>
        <v>0.13910304833296711</v>
      </c>
      <c r="O271" s="10">
        <f t="shared" ref="O271:O334" si="78">K271-$G$2</f>
        <v>-0.25428538159859848</v>
      </c>
      <c r="Y271" s="7">
        <f t="shared" si="68"/>
        <v>2.7069355124801579E-2</v>
      </c>
      <c r="Z271" s="7">
        <f t="shared" si="69"/>
        <v>0.21983271522939568</v>
      </c>
      <c r="AA271" s="7">
        <f t="shared" si="70"/>
        <v>0.20960304833296708</v>
      </c>
      <c r="AB271" s="7">
        <f t="shared" si="71"/>
        <v>-0.18378538159859847</v>
      </c>
      <c r="AC271" s="7">
        <f t="shared" ref="AC271:AC334" si="79">Y271-$F$14/100</f>
        <v>-2.3830644875198422E-2</v>
      </c>
      <c r="AD271" s="7">
        <f t="shared" ref="AD271:AD334" si="80">Z271-$F$14/100</f>
        <v>0.16893271522939568</v>
      </c>
      <c r="AE271" s="7">
        <f t="shared" ref="AE271:AE334" si="81">AA271-$F$14/100</f>
        <v>0.15870304833296708</v>
      </c>
      <c r="AF271" s="7">
        <f t="shared" ref="AF271:AF334" si="82">AB271-$F$14/100</f>
        <v>-0.23468538159859847</v>
      </c>
    </row>
    <row r="272" spans="1:32" x14ac:dyDescent="0.3">
      <c r="A272" s="1">
        <v>42917</v>
      </c>
      <c r="B272">
        <f>AEP!F272</f>
        <v>56.913612000000001</v>
      </c>
      <c r="C272">
        <f>DFSVX!F272</f>
        <v>26.048909999999999</v>
      </c>
      <c r="D272">
        <f>DFLVX!F272</f>
        <v>28.067170999999998</v>
      </c>
      <c r="E272">
        <f>FSAGX!F272</f>
        <v>19.194970999999999</v>
      </c>
      <c r="F272" s="5">
        <f>'FRED Graph'!B282</f>
        <v>1.22</v>
      </c>
      <c r="G272" s="9">
        <f t="shared" si="67"/>
        <v>1.2199999999999999E-2</v>
      </c>
      <c r="H272" s="10">
        <f t="shared" si="72"/>
        <v>5.477735167015918E-2</v>
      </c>
      <c r="I272" s="10">
        <f t="shared" si="73"/>
        <v>0.17157210867067102</v>
      </c>
      <c r="J272" s="10">
        <f t="shared" si="74"/>
        <v>0.18824311576131997</v>
      </c>
      <c r="K272" s="10">
        <f t="shared" si="74"/>
        <v>-0.23401397317053577</v>
      </c>
      <c r="L272" s="10">
        <f t="shared" si="75"/>
        <v>-1.5722648329840813E-2</v>
      </c>
      <c r="M272" s="10">
        <f t="shared" si="76"/>
        <v>0.10107210867067103</v>
      </c>
      <c r="N272" s="10">
        <f t="shared" si="77"/>
        <v>0.11774311576131997</v>
      </c>
      <c r="O272" s="10">
        <f t="shared" si="78"/>
        <v>-0.30451397317053575</v>
      </c>
      <c r="Y272" s="7">
        <f t="shared" si="68"/>
        <v>5.477735167015918E-2</v>
      </c>
      <c r="Z272" s="7">
        <f t="shared" si="69"/>
        <v>0.17157210867067102</v>
      </c>
      <c r="AA272" s="7">
        <f t="shared" si="70"/>
        <v>0.18824311576131997</v>
      </c>
      <c r="AB272" s="7">
        <f t="shared" si="71"/>
        <v>-0.23401397317053577</v>
      </c>
      <c r="AC272" s="7">
        <f t="shared" si="79"/>
        <v>3.8773516701591793E-3</v>
      </c>
      <c r="AD272" s="7">
        <f t="shared" si="80"/>
        <v>0.12067210867067102</v>
      </c>
      <c r="AE272" s="7">
        <f t="shared" si="81"/>
        <v>0.13734311576131997</v>
      </c>
      <c r="AF272" s="7">
        <f t="shared" si="82"/>
        <v>-0.28491397317053579</v>
      </c>
    </row>
    <row r="273" spans="1:32" x14ac:dyDescent="0.3">
      <c r="A273" s="1">
        <v>42948</v>
      </c>
      <c r="B273">
        <f>AEP!F273</f>
        <v>59.406714999999998</v>
      </c>
      <c r="C273">
        <f>DFSVX!F273</f>
        <v>25.384796000000001</v>
      </c>
      <c r="D273">
        <f>DFLVX!F273</f>
        <v>27.804656999999999</v>
      </c>
      <c r="E273">
        <f>FSAGX!F273</f>
        <v>20.568688999999999</v>
      </c>
      <c r="F273" s="5">
        <f>'FRED Graph'!B283</f>
        <v>1.23</v>
      </c>
      <c r="G273" s="9">
        <f t="shared" si="67"/>
        <v>1.23E-2</v>
      </c>
      <c r="H273" s="10">
        <f t="shared" si="72"/>
        <v>0.18163302598899006</v>
      </c>
      <c r="I273" s="10">
        <f t="shared" si="73"/>
        <v>0.12223061894135392</v>
      </c>
      <c r="J273" s="10">
        <f t="shared" si="74"/>
        <v>0.16365628705655905</v>
      </c>
      <c r="K273" s="10">
        <f t="shared" si="74"/>
        <v>-4.0608629662055348E-2</v>
      </c>
      <c r="L273" s="10">
        <f t="shared" si="75"/>
        <v>0.11113302598899007</v>
      </c>
      <c r="M273" s="10">
        <f t="shared" si="76"/>
        <v>5.1730618941353931E-2</v>
      </c>
      <c r="N273" s="10">
        <f t="shared" si="77"/>
        <v>9.3156287056559053E-2</v>
      </c>
      <c r="O273" s="10">
        <f t="shared" si="78"/>
        <v>-0.11110862966205534</v>
      </c>
      <c r="Y273" s="7">
        <f t="shared" si="68"/>
        <v>0.18163302598899006</v>
      </c>
      <c r="Z273" s="7">
        <f t="shared" si="69"/>
        <v>0.12223061894135392</v>
      </c>
      <c r="AA273" s="7">
        <f t="shared" si="70"/>
        <v>0.16365628705655905</v>
      </c>
      <c r="AB273" s="7">
        <f t="shared" si="71"/>
        <v>-4.0608629662055348E-2</v>
      </c>
      <c r="AC273" s="7">
        <f t="shared" si="79"/>
        <v>0.13073302598899006</v>
      </c>
      <c r="AD273" s="7">
        <f t="shared" si="80"/>
        <v>7.1330618941353924E-2</v>
      </c>
      <c r="AE273" s="7">
        <f t="shared" si="81"/>
        <v>0.11275628705655905</v>
      </c>
      <c r="AF273" s="7">
        <f t="shared" si="82"/>
        <v>-9.1508629662055349E-2</v>
      </c>
    </row>
    <row r="274" spans="1:32" x14ac:dyDescent="0.3">
      <c r="A274" s="1">
        <v>42979</v>
      </c>
      <c r="B274">
        <f>AEP!F274</f>
        <v>57.143828999999997</v>
      </c>
      <c r="C274">
        <f>DFSVX!F274</f>
        <v>27.341822000000001</v>
      </c>
      <c r="D274">
        <f>DFLVX!F274</f>
        <v>28.719726999999999</v>
      </c>
      <c r="E274">
        <f>FSAGX!F274</f>
        <v>19.259943</v>
      </c>
      <c r="F274" s="5">
        <f>'FRED Graph'!B284</f>
        <v>1.28</v>
      </c>
      <c r="G274" s="9">
        <f t="shared" si="67"/>
        <v>1.2800000000000001E-2</v>
      </c>
      <c r="H274" s="10">
        <f t="shared" si="72"/>
        <v>0.13356192033073508</v>
      </c>
      <c r="I274" s="10">
        <f t="shared" si="73"/>
        <v>0.19480484180968452</v>
      </c>
      <c r="J274" s="10">
        <f t="shared" si="74"/>
        <v>0.20195299967548636</v>
      </c>
      <c r="K274" s="10">
        <f t="shared" si="74"/>
        <v>-0.13057266314642346</v>
      </c>
      <c r="L274" s="10">
        <f t="shared" si="75"/>
        <v>6.3061920330735086E-2</v>
      </c>
      <c r="M274" s="10">
        <f t="shared" si="76"/>
        <v>0.12430484180968453</v>
      </c>
      <c r="N274" s="10">
        <f t="shared" si="77"/>
        <v>0.13145299967548635</v>
      </c>
      <c r="O274" s="10">
        <f t="shared" si="78"/>
        <v>-0.20107266314642347</v>
      </c>
      <c r="Y274" s="7">
        <f t="shared" si="68"/>
        <v>0.13356192033073508</v>
      </c>
      <c r="Z274" s="7">
        <f t="shared" si="69"/>
        <v>0.19480484180968452</v>
      </c>
      <c r="AA274" s="7">
        <f t="shared" si="70"/>
        <v>0.20195299967548636</v>
      </c>
      <c r="AB274" s="7">
        <f t="shared" si="71"/>
        <v>-0.13057266314642346</v>
      </c>
      <c r="AC274" s="7">
        <f t="shared" si="79"/>
        <v>8.2661920330735078E-2</v>
      </c>
      <c r="AD274" s="7">
        <f t="shared" si="80"/>
        <v>0.14390484180968452</v>
      </c>
      <c r="AE274" s="7">
        <f t="shared" si="81"/>
        <v>0.15105299967548635</v>
      </c>
      <c r="AF274" s="7">
        <f t="shared" si="82"/>
        <v>-0.18147266314642346</v>
      </c>
    </row>
    <row r="275" spans="1:32" x14ac:dyDescent="0.3">
      <c r="A275" s="1">
        <v>43009</v>
      </c>
      <c r="B275">
        <f>AEP!F275</f>
        <v>60.536335000000001</v>
      </c>
      <c r="C275">
        <f>DFSVX!F275</f>
        <v>27.656879</v>
      </c>
      <c r="D275">
        <f>DFLVX!F275</f>
        <v>29.289873</v>
      </c>
      <c r="E275">
        <f>FSAGX!F275</f>
        <v>18.610209000000001</v>
      </c>
      <c r="F275" s="5">
        <f>'FRED Graph'!B285</f>
        <v>1.4</v>
      </c>
      <c r="G275" s="9">
        <f t="shared" si="67"/>
        <v>1.3999999999999999E-2</v>
      </c>
      <c r="H275" s="10">
        <f t="shared" si="72"/>
        <v>0.18919120830005928</v>
      </c>
      <c r="I275" s="10">
        <f t="shared" si="73"/>
        <v>0.24720779496331846</v>
      </c>
      <c r="J275" s="10">
        <f t="shared" si="74"/>
        <v>0.24130970311294625</v>
      </c>
      <c r="K275" s="10">
        <f t="shared" si="74"/>
        <v>-9.3802820330531778E-2</v>
      </c>
      <c r="L275" s="10">
        <f t="shared" si="75"/>
        <v>0.11869120830005929</v>
      </c>
      <c r="M275" s="10">
        <f t="shared" si="76"/>
        <v>0.17670779496331845</v>
      </c>
      <c r="N275" s="10">
        <f t="shared" si="77"/>
        <v>0.17080970311294624</v>
      </c>
      <c r="O275" s="10">
        <f t="shared" si="78"/>
        <v>-0.16430282033053178</v>
      </c>
      <c r="Y275" s="7">
        <f t="shared" si="68"/>
        <v>0.18919120830005928</v>
      </c>
      <c r="Z275" s="7">
        <f t="shared" si="69"/>
        <v>0.24720779496331846</v>
      </c>
      <c r="AA275" s="7">
        <f t="shared" si="70"/>
        <v>0.24130970311294625</v>
      </c>
      <c r="AB275" s="7">
        <f t="shared" si="71"/>
        <v>-9.3802820330531778E-2</v>
      </c>
      <c r="AC275" s="7">
        <f t="shared" si="79"/>
        <v>0.13829120830005928</v>
      </c>
      <c r="AD275" s="7">
        <f t="shared" si="80"/>
        <v>0.19630779496331846</v>
      </c>
      <c r="AE275" s="7">
        <f t="shared" si="81"/>
        <v>0.19040970311294625</v>
      </c>
      <c r="AF275" s="7">
        <f t="shared" si="82"/>
        <v>-0.14470282033053178</v>
      </c>
    </row>
    <row r="276" spans="1:32" x14ac:dyDescent="0.3">
      <c r="A276" s="1">
        <v>43040</v>
      </c>
      <c r="B276">
        <f>AEP!F276</f>
        <v>63.155963999999997</v>
      </c>
      <c r="C276">
        <f>DFSVX!F276</f>
        <v>28.244423000000001</v>
      </c>
      <c r="D276">
        <f>DFLVX!F276</f>
        <v>30.330563000000001</v>
      </c>
      <c r="E276">
        <f>FSAGX!F276</f>
        <v>18.303905</v>
      </c>
      <c r="F276" s="5">
        <f>'FRED Graph'!B286</f>
        <v>1.56</v>
      </c>
      <c r="G276" s="9">
        <f t="shared" si="67"/>
        <v>1.5600000000000001E-2</v>
      </c>
      <c r="H276" s="10">
        <f t="shared" si="72"/>
        <v>0.36230100527672998</v>
      </c>
      <c r="I276" s="10">
        <f t="shared" si="73"/>
        <v>0.10881956493106391</v>
      </c>
      <c r="J276" s="10">
        <f t="shared" si="74"/>
        <v>0.19190318609102708</v>
      </c>
      <c r="K276" s="10">
        <f t="shared" si="74"/>
        <v>5.5526981673675112E-2</v>
      </c>
      <c r="L276" s="10">
        <f t="shared" si="75"/>
        <v>0.29180100527672997</v>
      </c>
      <c r="M276" s="10">
        <f t="shared" si="76"/>
        <v>3.8319564931063921E-2</v>
      </c>
      <c r="N276" s="10">
        <f t="shared" si="77"/>
        <v>0.12140318609102708</v>
      </c>
      <c r="O276" s="10">
        <f t="shared" si="78"/>
        <v>-1.4973018326324881E-2</v>
      </c>
      <c r="Y276" s="7">
        <f t="shared" si="68"/>
        <v>0.36230100527672998</v>
      </c>
      <c r="Z276" s="7">
        <f t="shared" si="69"/>
        <v>0.10881956493106391</v>
      </c>
      <c r="AA276" s="7">
        <f t="shared" si="70"/>
        <v>0.19190318609102708</v>
      </c>
      <c r="AB276" s="7">
        <f t="shared" si="71"/>
        <v>5.5526981673675112E-2</v>
      </c>
      <c r="AC276" s="7">
        <f t="shared" si="79"/>
        <v>0.31140100527672998</v>
      </c>
      <c r="AD276" s="7">
        <f t="shared" si="80"/>
        <v>5.7919564931063913E-2</v>
      </c>
      <c r="AE276" s="7">
        <f t="shared" si="81"/>
        <v>0.14100318609102708</v>
      </c>
      <c r="AF276" s="7">
        <f t="shared" si="82"/>
        <v>4.626981673675111E-3</v>
      </c>
    </row>
    <row r="277" spans="1:32" x14ac:dyDescent="0.3">
      <c r="A277" s="1">
        <v>43070</v>
      </c>
      <c r="B277">
        <f>AEP!F277</f>
        <v>60.348407999999999</v>
      </c>
      <c r="C277">
        <f>DFSVX!F277</f>
        <v>26.842813</v>
      </c>
      <c r="D277">
        <f>DFLVX!F277</f>
        <v>29.501021999999999</v>
      </c>
      <c r="E277">
        <f>FSAGX!F277</f>
        <v>19.278509</v>
      </c>
      <c r="F277" s="5">
        <f>'FRED Graph'!B287</f>
        <v>1.7</v>
      </c>
      <c r="G277" s="9">
        <f t="shared" si="67"/>
        <v>1.7000000000000001E-2</v>
      </c>
      <c r="H277" s="10">
        <f t="shared" si="72"/>
        <v>0.2095084906829815</v>
      </c>
      <c r="I277" s="10">
        <f t="shared" si="73"/>
        <v>6.0277615105682102E-2</v>
      </c>
      <c r="J277" s="10">
        <f t="shared" si="74"/>
        <v>0.16260840405918348</v>
      </c>
      <c r="K277" s="10">
        <f t="shared" si="74"/>
        <v>0.11463019601374411</v>
      </c>
      <c r="L277" s="10">
        <f t="shared" si="75"/>
        <v>0.13900849068298149</v>
      </c>
      <c r="M277" s="10">
        <f t="shared" si="76"/>
        <v>-1.0222384894317892E-2</v>
      </c>
      <c r="N277" s="10">
        <f t="shared" si="77"/>
        <v>9.2108404059183482E-2</v>
      </c>
      <c r="O277" s="10">
        <f t="shared" si="78"/>
        <v>4.4130196013744113E-2</v>
      </c>
      <c r="Y277" s="7">
        <f t="shared" si="68"/>
        <v>0.2095084906829815</v>
      </c>
      <c r="Z277" s="7">
        <f t="shared" si="69"/>
        <v>6.0277615105682102E-2</v>
      </c>
      <c r="AA277" s="7">
        <f t="shared" si="70"/>
        <v>0.16260840405918348</v>
      </c>
      <c r="AB277" s="7">
        <f t="shared" si="71"/>
        <v>0.11463019601374411</v>
      </c>
      <c r="AC277" s="7">
        <f t="shared" si="79"/>
        <v>0.1586084906829815</v>
      </c>
      <c r="AD277" s="7">
        <f t="shared" si="80"/>
        <v>9.3776151056821008E-3</v>
      </c>
      <c r="AE277" s="7">
        <f t="shared" si="81"/>
        <v>0.11170840405918347</v>
      </c>
      <c r="AF277" s="7">
        <f t="shared" si="82"/>
        <v>6.3730196013744106E-2</v>
      </c>
    </row>
    <row r="278" spans="1:32" x14ac:dyDescent="0.3">
      <c r="A278" s="1">
        <v>43101</v>
      </c>
      <c r="B278">
        <f>AEP!F278</f>
        <v>56.419224</v>
      </c>
      <c r="C278">
        <f>DFSVX!F278</f>
        <v>28.702133</v>
      </c>
      <c r="D278">
        <f>DFLVX!F278</f>
        <v>32.642432999999997</v>
      </c>
      <c r="E278">
        <f>FSAGX!F278</f>
        <v>19.445582999999999</v>
      </c>
      <c r="F278" s="5">
        <f>'FRED Graph'!B288</f>
        <v>1.8</v>
      </c>
      <c r="G278" s="9">
        <f t="shared" si="67"/>
        <v>1.8000000000000002E-2</v>
      </c>
      <c r="H278" s="10">
        <f t="shared" si="72"/>
        <v>0.1113428815322923</v>
      </c>
      <c r="I278" s="10">
        <f t="shared" si="73"/>
        <v>9.5089054646682186E-2</v>
      </c>
      <c r="J278" s="10">
        <f t="shared" si="74"/>
        <v>0.23348100371116332</v>
      </c>
      <c r="K278" s="10">
        <f t="shared" si="74"/>
        <v>-3.3006629163665653E-2</v>
      </c>
      <c r="L278" s="10">
        <f t="shared" si="75"/>
        <v>4.0842881532292305E-2</v>
      </c>
      <c r="M278" s="10">
        <f t="shared" si="76"/>
        <v>2.4589054646682193E-2</v>
      </c>
      <c r="N278" s="10">
        <f t="shared" si="77"/>
        <v>0.16298100371116331</v>
      </c>
      <c r="O278" s="10">
        <f t="shared" si="78"/>
        <v>-0.10350662916366565</v>
      </c>
      <c r="Y278" s="7">
        <f t="shared" si="68"/>
        <v>0.1113428815322923</v>
      </c>
      <c r="Z278" s="7">
        <f t="shared" si="69"/>
        <v>9.5089054646682186E-2</v>
      </c>
      <c r="AA278" s="7">
        <f t="shared" si="70"/>
        <v>0.23348100371116332</v>
      </c>
      <c r="AB278" s="7">
        <f t="shared" si="71"/>
        <v>-3.3006629163665653E-2</v>
      </c>
      <c r="AC278" s="7">
        <f t="shared" si="79"/>
        <v>6.0442881532292297E-2</v>
      </c>
      <c r="AD278" s="7">
        <f t="shared" si="80"/>
        <v>4.4189054646682185E-2</v>
      </c>
      <c r="AE278" s="7">
        <f t="shared" si="81"/>
        <v>0.18258100371116331</v>
      </c>
      <c r="AF278" s="7">
        <f t="shared" si="82"/>
        <v>-8.3906629163665647E-2</v>
      </c>
    </row>
    <row r="279" spans="1:32" x14ac:dyDescent="0.3">
      <c r="A279" s="1">
        <v>43132</v>
      </c>
      <c r="B279">
        <f>AEP!F279</f>
        <v>53.794314999999997</v>
      </c>
      <c r="C279">
        <f>DFSVX!F279</f>
        <v>27.359853999999999</v>
      </c>
      <c r="D279">
        <f>DFLVX!F279</f>
        <v>31.023405</v>
      </c>
      <c r="E279">
        <f>FSAGX!F279</f>
        <v>17.431408000000001</v>
      </c>
      <c r="F279" s="5">
        <f>'FRED Graph'!B289</f>
        <v>1.96</v>
      </c>
      <c r="G279" s="9">
        <f t="shared" si="67"/>
        <v>1.9599999999999999E-2</v>
      </c>
      <c r="H279" s="10">
        <f t="shared" si="72"/>
        <v>1.3593957512547076E-2</v>
      </c>
      <c r="I279" s="10">
        <f t="shared" si="73"/>
        <v>4.0518920507581151E-2</v>
      </c>
      <c r="J279" s="10">
        <f t="shared" si="74"/>
        <v>0.13809518743492982</v>
      </c>
      <c r="K279" s="10">
        <f t="shared" si="74"/>
        <v>-0.10471336757849092</v>
      </c>
      <c r="L279" s="10">
        <f t="shared" si="75"/>
        <v>-5.6906042487452915E-2</v>
      </c>
      <c r="M279" s="10">
        <f t="shared" si="76"/>
        <v>-2.9981079492418843E-2</v>
      </c>
      <c r="N279" s="10">
        <f t="shared" si="77"/>
        <v>6.7595187434929829E-2</v>
      </c>
      <c r="O279" s="10">
        <f t="shared" si="78"/>
        <v>-0.17521336757849093</v>
      </c>
      <c r="Y279" s="7">
        <f t="shared" si="68"/>
        <v>1.3593957512547076E-2</v>
      </c>
      <c r="Z279" s="7">
        <f t="shared" si="69"/>
        <v>4.0518920507581151E-2</v>
      </c>
      <c r="AA279" s="7">
        <f t="shared" si="70"/>
        <v>0.13809518743492982</v>
      </c>
      <c r="AB279" s="7">
        <f t="shared" si="71"/>
        <v>-0.10471336757849092</v>
      </c>
      <c r="AC279" s="7">
        <f t="shared" si="79"/>
        <v>-3.7306042487452923E-2</v>
      </c>
      <c r="AD279" s="7">
        <f t="shared" si="80"/>
        <v>-1.038107949241885E-2</v>
      </c>
      <c r="AE279" s="7">
        <f t="shared" si="81"/>
        <v>8.7195187434929822E-2</v>
      </c>
      <c r="AF279" s="7">
        <f t="shared" si="82"/>
        <v>-0.15561336757849092</v>
      </c>
    </row>
    <row r="280" spans="1:32" x14ac:dyDescent="0.3">
      <c r="A280" s="1">
        <v>43160</v>
      </c>
      <c r="B280">
        <f>AEP!F280</f>
        <v>56.809868000000002</v>
      </c>
      <c r="C280">
        <f>DFSVX!F280</f>
        <v>27.613403000000002</v>
      </c>
      <c r="D280">
        <f>DFLVX!F280</f>
        <v>30.182155999999999</v>
      </c>
      <c r="E280">
        <f>FSAGX!F280</f>
        <v>17.663456</v>
      </c>
      <c r="F280" s="5">
        <f>'FRED Graph'!B290</f>
        <v>2.06</v>
      </c>
      <c r="G280" s="9">
        <f t="shared" si="67"/>
        <v>2.06E-2</v>
      </c>
      <c r="H280" s="10">
        <f t="shared" si="72"/>
        <v>5.8006411820557068E-2</v>
      </c>
      <c r="I280" s="10">
        <f t="shared" si="73"/>
        <v>6.2694071224979137E-2</v>
      </c>
      <c r="J280" s="10">
        <f t="shared" si="74"/>
        <v>0.12253970114757159</v>
      </c>
      <c r="K280" s="10">
        <f t="shared" si="74"/>
        <v>-9.2795255600379614E-2</v>
      </c>
      <c r="L280" s="10">
        <f t="shared" si="75"/>
        <v>-1.2493588179442926E-2</v>
      </c>
      <c r="M280" s="10">
        <f t="shared" si="76"/>
        <v>-7.8059287750208567E-3</v>
      </c>
      <c r="N280" s="10">
        <f t="shared" si="77"/>
        <v>5.2039701147571601E-2</v>
      </c>
      <c r="O280" s="10">
        <f t="shared" si="78"/>
        <v>-0.16329525560037961</v>
      </c>
      <c r="Y280" s="7">
        <f t="shared" si="68"/>
        <v>5.8006411820557068E-2</v>
      </c>
      <c r="Z280" s="7">
        <f t="shared" si="69"/>
        <v>6.2694071224979137E-2</v>
      </c>
      <c r="AA280" s="7">
        <f t="shared" si="70"/>
        <v>0.12253970114757159</v>
      </c>
      <c r="AB280" s="7">
        <f t="shared" si="71"/>
        <v>-9.2795255600379614E-2</v>
      </c>
      <c r="AC280" s="7">
        <f t="shared" si="79"/>
        <v>7.1064118205570667E-3</v>
      </c>
      <c r="AD280" s="7">
        <f t="shared" si="80"/>
        <v>1.1794071224979136E-2</v>
      </c>
      <c r="AE280" s="7">
        <f t="shared" si="81"/>
        <v>7.1639701147571594E-2</v>
      </c>
      <c r="AF280" s="7">
        <f t="shared" si="82"/>
        <v>-0.1436952556003796</v>
      </c>
    </row>
    <row r="281" spans="1:32" x14ac:dyDescent="0.3">
      <c r="A281" s="1">
        <v>43191</v>
      </c>
      <c r="B281">
        <f>AEP!F281</f>
        <v>57.96114</v>
      </c>
      <c r="C281">
        <f>DFSVX!F281</f>
        <v>27.979561</v>
      </c>
      <c r="D281">
        <f>DFLVX!F281</f>
        <v>30.364902000000001</v>
      </c>
      <c r="E281">
        <f>FSAGX!F281</f>
        <v>17.867659</v>
      </c>
      <c r="F281" s="5">
        <f>'FRED Graph'!B291</f>
        <v>2.15</v>
      </c>
      <c r="G281" s="9">
        <f t="shared" si="67"/>
        <v>2.1499999999999998E-2</v>
      </c>
      <c r="H281" s="10">
        <f t="shared" si="72"/>
        <v>6.8307522307392704E-2</v>
      </c>
      <c r="I281" s="10">
        <f t="shared" si="73"/>
        <v>7.1372362608793594E-2</v>
      </c>
      <c r="J281" s="10">
        <f t="shared" si="74"/>
        <v>0.11699543187306445</v>
      </c>
      <c r="K281" s="10">
        <f t="shared" si="74"/>
        <v>-4.5526906393131353E-2</v>
      </c>
      <c r="L281" s="10">
        <f t="shared" si="75"/>
        <v>-2.1924776926072892E-3</v>
      </c>
      <c r="M281" s="10">
        <f t="shared" si="76"/>
        <v>8.7236260879360039E-4</v>
      </c>
      <c r="N281" s="10">
        <f t="shared" si="77"/>
        <v>4.6495431873064458E-2</v>
      </c>
      <c r="O281" s="10">
        <f t="shared" si="78"/>
        <v>-0.11602690639313135</v>
      </c>
      <c r="Y281" s="7">
        <f t="shared" si="68"/>
        <v>6.8307522307392704E-2</v>
      </c>
      <c r="Z281" s="7">
        <f t="shared" si="69"/>
        <v>7.1372362608793594E-2</v>
      </c>
      <c r="AA281" s="7">
        <f t="shared" si="70"/>
        <v>0.11699543187306445</v>
      </c>
      <c r="AB281" s="7">
        <f t="shared" si="71"/>
        <v>-4.5526906393131353E-2</v>
      </c>
      <c r="AC281" s="7">
        <f t="shared" si="79"/>
        <v>1.7407522307392703E-2</v>
      </c>
      <c r="AD281" s="7">
        <f t="shared" si="80"/>
        <v>2.0472362608793593E-2</v>
      </c>
      <c r="AE281" s="7">
        <f t="shared" si="81"/>
        <v>6.609543187306445E-2</v>
      </c>
      <c r="AF281" s="7">
        <f t="shared" si="82"/>
        <v>-9.6426906393131354E-2</v>
      </c>
    </row>
    <row r="282" spans="1:32" x14ac:dyDescent="0.3">
      <c r="A282" s="1">
        <v>43221</v>
      </c>
      <c r="B282">
        <f>AEP!F282</f>
        <v>56.279792999999998</v>
      </c>
      <c r="C282">
        <f>DFSVX!F282</f>
        <v>29.739473</v>
      </c>
      <c r="D282">
        <f>DFLVX!F282</f>
        <v>30.643913000000001</v>
      </c>
      <c r="E282">
        <f>FSAGX!F282</f>
        <v>17.867659</v>
      </c>
      <c r="F282" s="5">
        <f>'FRED Graph'!B292</f>
        <v>2.27</v>
      </c>
      <c r="G282" s="9">
        <f t="shared" si="67"/>
        <v>2.2700000000000001E-2</v>
      </c>
      <c r="H282" s="10">
        <f t="shared" si="72"/>
        <v>-1.9764805041423195E-2</v>
      </c>
      <c r="I282" s="10">
        <f t="shared" si="73"/>
        <v>0.18018282363863167</v>
      </c>
      <c r="J282" s="10">
        <f t="shared" si="74"/>
        <v>0.12849891725443444</v>
      </c>
      <c r="K282" s="10">
        <f t="shared" si="74"/>
        <v>-5.3123247889518388E-2</v>
      </c>
      <c r="L282" s="10">
        <f t="shared" si="75"/>
        <v>-9.0264805041423188E-2</v>
      </c>
      <c r="M282" s="10">
        <f t="shared" si="76"/>
        <v>0.10968282363863167</v>
      </c>
      <c r="N282" s="10">
        <f t="shared" si="77"/>
        <v>5.7998917254434443E-2</v>
      </c>
      <c r="O282" s="10">
        <f t="shared" si="78"/>
        <v>-0.12362324788951838</v>
      </c>
      <c r="Y282" s="7">
        <f t="shared" si="68"/>
        <v>-1.9764805041423195E-2</v>
      </c>
      <c r="Z282" s="7">
        <f t="shared" si="69"/>
        <v>0.18018282363863167</v>
      </c>
      <c r="AA282" s="7">
        <f t="shared" si="70"/>
        <v>0.12849891725443444</v>
      </c>
      <c r="AB282" s="7">
        <f t="shared" si="71"/>
        <v>-5.3123247889518388E-2</v>
      </c>
      <c r="AC282" s="7">
        <f t="shared" si="79"/>
        <v>-7.0664805041423195E-2</v>
      </c>
      <c r="AD282" s="7">
        <f t="shared" si="80"/>
        <v>0.12928282363863167</v>
      </c>
      <c r="AE282" s="7">
        <f t="shared" si="81"/>
        <v>7.7598917254434435E-2</v>
      </c>
      <c r="AF282" s="7">
        <f t="shared" si="82"/>
        <v>-0.10402324788951839</v>
      </c>
    </row>
    <row r="283" spans="1:32" x14ac:dyDescent="0.3">
      <c r="A283" s="1">
        <v>43252</v>
      </c>
      <c r="B283">
        <f>AEP!F283</f>
        <v>57.890247000000002</v>
      </c>
      <c r="C283">
        <f>DFSVX!F283</f>
        <v>29.694732999999999</v>
      </c>
      <c r="D283">
        <f>DFLVX!F283</f>
        <v>30.27721</v>
      </c>
      <c r="E283">
        <f>FSAGX!F283</f>
        <v>17.709866000000002</v>
      </c>
      <c r="F283" s="5">
        <f>'FRED Graph'!B293</f>
        <v>2.33</v>
      </c>
      <c r="G283" s="9">
        <f t="shared" si="67"/>
        <v>2.3300000000000001E-2</v>
      </c>
      <c r="H283" s="10">
        <f t="shared" si="72"/>
        <v>3.2826766288142982E-2</v>
      </c>
      <c r="I283" s="10">
        <f t="shared" si="73"/>
        <v>0.15103238978838449</v>
      </c>
      <c r="J283" s="10">
        <f t="shared" si="74"/>
        <v>0.10196623741830214</v>
      </c>
      <c r="K283" s="10">
        <f t="shared" si="74"/>
        <v>-5.7777810409096117E-2</v>
      </c>
      <c r="L283" s="10">
        <f t="shared" si="75"/>
        <v>-3.7673233711857011E-2</v>
      </c>
      <c r="M283" s="10">
        <f t="shared" si="76"/>
        <v>8.0532389788384492E-2</v>
      </c>
      <c r="N283" s="10">
        <f t="shared" si="77"/>
        <v>3.1466237418302151E-2</v>
      </c>
      <c r="O283" s="10">
        <f t="shared" si="78"/>
        <v>-0.12827781040909611</v>
      </c>
      <c r="Y283" s="7">
        <f t="shared" si="68"/>
        <v>3.2826766288142982E-2</v>
      </c>
      <c r="Z283" s="7">
        <f t="shared" si="69"/>
        <v>0.15103238978838449</v>
      </c>
      <c r="AA283" s="7">
        <f t="shared" si="70"/>
        <v>0.10196623741830214</v>
      </c>
      <c r="AB283" s="7">
        <f t="shared" si="71"/>
        <v>-5.7777810409096117E-2</v>
      </c>
      <c r="AC283" s="7">
        <f t="shared" si="79"/>
        <v>-1.8073233711857019E-2</v>
      </c>
      <c r="AD283" s="7">
        <f t="shared" si="80"/>
        <v>0.10013238978838448</v>
      </c>
      <c r="AE283" s="7">
        <f t="shared" si="81"/>
        <v>5.1066237418302143E-2</v>
      </c>
      <c r="AF283" s="7">
        <f t="shared" si="82"/>
        <v>-0.10867781040909612</v>
      </c>
    </row>
    <row r="284" spans="1:32" x14ac:dyDescent="0.3">
      <c r="A284" s="1">
        <v>43282</v>
      </c>
      <c r="B284">
        <f>AEP!F284</f>
        <v>59.470188</v>
      </c>
      <c r="C284">
        <f>DFSVX!F284</f>
        <v>30.236287999999998</v>
      </c>
      <c r="D284">
        <f>DFLVX!F284</f>
        <v>31.687061</v>
      </c>
      <c r="E284">
        <f>FSAGX!F284</f>
        <v>17.115828</v>
      </c>
      <c r="F284" s="5">
        <f>'FRED Graph'!B294</f>
        <v>2.39</v>
      </c>
      <c r="G284" s="9">
        <f t="shared" si="67"/>
        <v>2.3900000000000001E-2</v>
      </c>
      <c r="H284" s="10">
        <f t="shared" si="72"/>
        <v>4.4920290773321499E-2</v>
      </c>
      <c r="I284" s="10">
        <f t="shared" si="73"/>
        <v>0.16075060338417227</v>
      </c>
      <c r="J284" s="10">
        <f t="shared" si="74"/>
        <v>0.12897238556746607</v>
      </c>
      <c r="K284" s="10">
        <f t="shared" si="74"/>
        <v>-0.10831706909064871</v>
      </c>
      <c r="L284" s="10">
        <f t="shared" si="75"/>
        <v>-2.5579709226678495E-2</v>
      </c>
      <c r="M284" s="10">
        <f t="shared" si="76"/>
        <v>9.0250603384172276E-2</v>
      </c>
      <c r="N284" s="10">
        <f t="shared" si="77"/>
        <v>5.8472385567466076E-2</v>
      </c>
      <c r="O284" s="10">
        <f t="shared" si="78"/>
        <v>-0.17881706909064871</v>
      </c>
      <c r="Y284" s="7">
        <f t="shared" si="68"/>
        <v>4.4920290773321499E-2</v>
      </c>
      <c r="Z284" s="7">
        <f t="shared" si="69"/>
        <v>0.16075060338417227</v>
      </c>
      <c r="AA284" s="7">
        <f t="shared" si="70"/>
        <v>0.12897238556746607</v>
      </c>
      <c r="AB284" s="7">
        <f t="shared" si="71"/>
        <v>-0.10831706909064871</v>
      </c>
      <c r="AC284" s="7">
        <f t="shared" si="79"/>
        <v>-5.9797092266785021E-3</v>
      </c>
      <c r="AD284" s="7">
        <f t="shared" si="80"/>
        <v>0.10985060338417227</v>
      </c>
      <c r="AE284" s="7">
        <f t="shared" si="81"/>
        <v>7.8072385567466068E-2</v>
      </c>
      <c r="AF284" s="7">
        <f t="shared" si="82"/>
        <v>-0.1592170690906487</v>
      </c>
    </row>
    <row r="285" spans="1:32" x14ac:dyDescent="0.3">
      <c r="A285" s="1">
        <v>43313</v>
      </c>
      <c r="B285">
        <f>AEP!F285</f>
        <v>59.963413000000003</v>
      </c>
      <c r="C285">
        <f>DFSVX!F285</f>
        <v>31.095694999999999</v>
      </c>
      <c r="D285">
        <f>DFLVX!F285</f>
        <v>32.143737999999999</v>
      </c>
      <c r="E285">
        <f>FSAGX!F285</f>
        <v>15.008832999999999</v>
      </c>
      <c r="F285" s="5">
        <f>'FRED Graph'!B295</f>
        <v>2.4500000000000002</v>
      </c>
      <c r="G285" s="9">
        <f t="shared" si="67"/>
        <v>2.4500000000000001E-2</v>
      </c>
      <c r="H285" s="10">
        <f t="shared" si="72"/>
        <v>9.3709608417163678E-3</v>
      </c>
      <c r="I285" s="10">
        <f t="shared" si="73"/>
        <v>0.22497320837244456</v>
      </c>
      <c r="J285" s="10">
        <f t="shared" si="74"/>
        <v>0.15605590818832976</v>
      </c>
      <c r="K285" s="10">
        <f t="shared" si="74"/>
        <v>-0.27030677550717985</v>
      </c>
      <c r="L285" s="10">
        <f t="shared" si="75"/>
        <v>-6.1129039158283625E-2</v>
      </c>
      <c r="M285" s="10">
        <f t="shared" si="76"/>
        <v>0.15447320837244455</v>
      </c>
      <c r="N285" s="10">
        <f t="shared" si="77"/>
        <v>8.5555908188329768E-2</v>
      </c>
      <c r="O285" s="10">
        <f t="shared" si="78"/>
        <v>-0.34080677550717986</v>
      </c>
      <c r="Y285" s="7">
        <f t="shared" si="68"/>
        <v>9.3709608417163678E-3</v>
      </c>
      <c r="Z285" s="7">
        <f t="shared" si="69"/>
        <v>0.22497320837244456</v>
      </c>
      <c r="AA285" s="7">
        <f t="shared" si="70"/>
        <v>0.15605590818832976</v>
      </c>
      <c r="AB285" s="7">
        <f t="shared" si="71"/>
        <v>-0.27030677550717985</v>
      </c>
      <c r="AC285" s="7">
        <f t="shared" si="79"/>
        <v>-4.1529039158283633E-2</v>
      </c>
      <c r="AD285" s="7">
        <f t="shared" si="80"/>
        <v>0.17407320837244455</v>
      </c>
      <c r="AE285" s="7">
        <f t="shared" si="81"/>
        <v>0.10515590818832976</v>
      </c>
      <c r="AF285" s="7">
        <f t="shared" si="82"/>
        <v>-0.32120677550717985</v>
      </c>
    </row>
    <row r="286" spans="1:32" x14ac:dyDescent="0.3">
      <c r="A286" s="1">
        <v>43344</v>
      </c>
      <c r="B286">
        <f>AEP!F286</f>
        <v>59.775345000000002</v>
      </c>
      <c r="C286">
        <f>DFSVX!F286</f>
        <v>30.019562000000001</v>
      </c>
      <c r="D286">
        <f>DFLVX!F286</f>
        <v>32.007542000000001</v>
      </c>
      <c r="E286">
        <f>FSAGX!F286</f>
        <v>14.934576</v>
      </c>
      <c r="F286" s="5">
        <f>'FRED Graph'!B296</f>
        <v>2.56</v>
      </c>
      <c r="G286" s="9">
        <f t="shared" si="67"/>
        <v>2.5600000000000001E-2</v>
      </c>
      <c r="H286" s="10">
        <f t="shared" si="72"/>
        <v>4.6050746791924023E-2</v>
      </c>
      <c r="I286" s="10">
        <f t="shared" si="73"/>
        <v>9.7935682559852813E-2</v>
      </c>
      <c r="J286" s="10">
        <f t="shared" si="74"/>
        <v>0.11447932635292815</v>
      </c>
      <c r="K286" s="10">
        <f t="shared" si="74"/>
        <v>-0.22457839049679432</v>
      </c>
      <c r="L286" s="10">
        <f t="shared" si="75"/>
        <v>-2.444925320807597E-2</v>
      </c>
      <c r="M286" s="10">
        <f t="shared" si="76"/>
        <v>2.743568255985282E-2</v>
      </c>
      <c r="N286" s="10">
        <f t="shared" si="77"/>
        <v>4.3979326352928158E-2</v>
      </c>
      <c r="O286" s="10">
        <f t="shared" si="78"/>
        <v>-0.2950783904967943</v>
      </c>
      <c r="Y286" s="7">
        <f t="shared" si="68"/>
        <v>4.6050746791924023E-2</v>
      </c>
      <c r="Z286" s="7">
        <f t="shared" si="69"/>
        <v>9.7935682559852813E-2</v>
      </c>
      <c r="AA286" s="7">
        <f t="shared" si="70"/>
        <v>0.11447932635292815</v>
      </c>
      <c r="AB286" s="7">
        <f t="shared" si="71"/>
        <v>-0.22457839049679432</v>
      </c>
      <c r="AC286" s="7">
        <f t="shared" si="79"/>
        <v>-4.8492532080759779E-3</v>
      </c>
      <c r="AD286" s="7">
        <f t="shared" si="80"/>
        <v>4.7035682559852812E-2</v>
      </c>
      <c r="AE286" s="7">
        <f t="shared" si="81"/>
        <v>6.357932635292815E-2</v>
      </c>
      <c r="AF286" s="7">
        <f t="shared" si="82"/>
        <v>-0.27547839049679435</v>
      </c>
    </row>
    <row r="287" spans="1:32" x14ac:dyDescent="0.3">
      <c r="A287" s="1">
        <v>43374</v>
      </c>
      <c r="B287">
        <f>AEP!F287</f>
        <v>61.866787000000002</v>
      </c>
      <c r="C287">
        <f>DFSVX!F287</f>
        <v>27.270582000000001</v>
      </c>
      <c r="D287">
        <f>DFLVX!F287</f>
        <v>30.120844000000002</v>
      </c>
      <c r="E287">
        <f>FSAGX!F287</f>
        <v>15.120215999999999</v>
      </c>
      <c r="F287" s="5">
        <f>'FRED Graph'!B297</f>
        <v>2.65</v>
      </c>
      <c r="G287" s="9">
        <f t="shared" si="67"/>
        <v>2.6499999999999999E-2</v>
      </c>
      <c r="H287" s="10">
        <f t="shared" si="72"/>
        <v>2.1977742788690479E-2</v>
      </c>
      <c r="I287" s="10">
        <f t="shared" si="73"/>
        <v>-1.3967483460443929E-2</v>
      </c>
      <c r="J287" s="10">
        <f t="shared" si="74"/>
        <v>2.8370590749915565E-2</v>
      </c>
      <c r="K287" s="10">
        <f t="shared" si="74"/>
        <v>-0.18753110188069363</v>
      </c>
      <c r="L287" s="10">
        <f t="shared" si="75"/>
        <v>-4.8522257211309511E-2</v>
      </c>
      <c r="M287" s="10">
        <f t="shared" si="76"/>
        <v>-8.4467483460443915E-2</v>
      </c>
      <c r="N287" s="10">
        <f t="shared" si="77"/>
        <v>-4.2129409250084432E-2</v>
      </c>
      <c r="O287" s="10">
        <f t="shared" si="78"/>
        <v>-0.25803110188069361</v>
      </c>
      <c r="Y287" s="7">
        <f t="shared" si="68"/>
        <v>2.1977742788690479E-2</v>
      </c>
      <c r="Z287" s="7">
        <f t="shared" si="69"/>
        <v>-1.3967483460443929E-2</v>
      </c>
      <c r="AA287" s="7">
        <f t="shared" si="70"/>
        <v>2.8370590749915565E-2</v>
      </c>
      <c r="AB287" s="7">
        <f t="shared" si="71"/>
        <v>-0.18753110188069363</v>
      </c>
      <c r="AC287" s="7">
        <f t="shared" si="79"/>
        <v>-2.8922257211309522E-2</v>
      </c>
      <c r="AD287" s="7">
        <f t="shared" si="80"/>
        <v>-6.4867483460443937E-2</v>
      </c>
      <c r="AE287" s="7">
        <f t="shared" si="81"/>
        <v>-2.2529409250084436E-2</v>
      </c>
      <c r="AF287" s="7">
        <f t="shared" si="82"/>
        <v>-0.23843110188069364</v>
      </c>
    </row>
    <row r="288" spans="1:32" x14ac:dyDescent="0.3">
      <c r="A288" s="1">
        <v>43405</v>
      </c>
      <c r="B288">
        <f>AEP!F288</f>
        <v>65.560592999999997</v>
      </c>
      <c r="C288">
        <f>DFSVX!F288</f>
        <v>27.517883000000001</v>
      </c>
      <c r="D288">
        <f>DFLVX!F288</f>
        <v>30.821314000000001</v>
      </c>
      <c r="E288">
        <f>FSAGX!F288</f>
        <v>15.073805999999999</v>
      </c>
      <c r="F288" s="5">
        <f>'FRED Graph'!B298</f>
        <v>2.7</v>
      </c>
      <c r="G288" s="9">
        <f t="shared" si="67"/>
        <v>2.7000000000000003E-2</v>
      </c>
      <c r="H288" s="10">
        <f t="shared" si="72"/>
        <v>3.8074456436133254E-2</v>
      </c>
      <c r="I288" s="10">
        <f t="shared" si="73"/>
        <v>-2.5723308279301721E-2</v>
      </c>
      <c r="J288" s="10">
        <f t="shared" si="74"/>
        <v>1.6180082117170046E-2</v>
      </c>
      <c r="K288" s="10">
        <f t="shared" si="74"/>
        <v>-0.17647048539642229</v>
      </c>
      <c r="L288" s="10">
        <f t="shared" si="75"/>
        <v>-3.2425543563866739E-2</v>
      </c>
      <c r="M288" s="10">
        <f t="shared" si="76"/>
        <v>-9.6223308279301714E-2</v>
      </c>
      <c r="N288" s="10">
        <f t="shared" si="77"/>
        <v>-5.4319917882829943E-2</v>
      </c>
      <c r="O288" s="10">
        <f t="shared" si="78"/>
        <v>-0.2469704853964223</v>
      </c>
      <c r="Y288" s="7">
        <f t="shared" si="68"/>
        <v>3.8074456436133254E-2</v>
      </c>
      <c r="Z288" s="7">
        <f t="shared" si="69"/>
        <v>-2.5723308279301721E-2</v>
      </c>
      <c r="AA288" s="7">
        <f t="shared" si="70"/>
        <v>1.6180082117170046E-2</v>
      </c>
      <c r="AB288" s="7">
        <f t="shared" si="71"/>
        <v>-0.17647048539642229</v>
      </c>
      <c r="AC288" s="7">
        <f t="shared" si="79"/>
        <v>-1.2825543563866747E-2</v>
      </c>
      <c r="AD288" s="7">
        <f t="shared" si="80"/>
        <v>-7.6623308279301722E-2</v>
      </c>
      <c r="AE288" s="7">
        <f t="shared" si="81"/>
        <v>-3.4719917882829951E-2</v>
      </c>
      <c r="AF288" s="7">
        <f t="shared" si="82"/>
        <v>-0.22737048539642229</v>
      </c>
    </row>
    <row r="289" spans="1:32" x14ac:dyDescent="0.3">
      <c r="A289" s="1">
        <v>43435</v>
      </c>
      <c r="B289">
        <f>AEP!F289</f>
        <v>63.597752</v>
      </c>
      <c r="C289">
        <f>DFSVX!F289</f>
        <v>22.481936000000001</v>
      </c>
      <c r="D289">
        <f>DFLVX!F289</f>
        <v>25.877672</v>
      </c>
      <c r="E289">
        <f>FSAGX!F289</f>
        <v>16.772392</v>
      </c>
      <c r="F289" s="5">
        <f>'FRED Graph'!B299</f>
        <v>2.66</v>
      </c>
      <c r="G289" s="9">
        <f t="shared" si="67"/>
        <v>2.6600000000000002E-2</v>
      </c>
      <c r="H289" s="10">
        <f t="shared" si="72"/>
        <v>5.3843077351767105E-2</v>
      </c>
      <c r="I289" s="10">
        <f t="shared" si="73"/>
        <v>-0.16245976157565895</v>
      </c>
      <c r="J289" s="10">
        <f t="shared" si="74"/>
        <v>-0.12282116870391807</v>
      </c>
      <c r="K289" s="10">
        <f t="shared" si="74"/>
        <v>-0.12999537464230246</v>
      </c>
      <c r="L289" s="10">
        <f t="shared" si="75"/>
        <v>-1.6656922648232889E-2</v>
      </c>
      <c r="M289" s="10">
        <f t="shared" si="76"/>
        <v>-0.23295976157565895</v>
      </c>
      <c r="N289" s="10">
        <f t="shared" si="77"/>
        <v>-0.19332116870391808</v>
      </c>
      <c r="O289" s="10">
        <f t="shared" si="78"/>
        <v>-0.20049537464230244</v>
      </c>
      <c r="Y289" s="7">
        <f t="shared" si="68"/>
        <v>5.3843077351767105E-2</v>
      </c>
      <c r="Z289" s="7">
        <f t="shared" si="69"/>
        <v>-0.16245976157565895</v>
      </c>
      <c r="AA289" s="7">
        <f t="shared" si="70"/>
        <v>-0.12282116870391807</v>
      </c>
      <c r="AB289" s="7">
        <f t="shared" si="71"/>
        <v>-0.12999537464230246</v>
      </c>
      <c r="AC289" s="7">
        <f t="shared" si="79"/>
        <v>2.9430773517671038E-3</v>
      </c>
      <c r="AD289" s="7">
        <f t="shared" si="80"/>
        <v>-0.21335976157565895</v>
      </c>
      <c r="AE289" s="7">
        <f t="shared" si="81"/>
        <v>-0.17372116870391807</v>
      </c>
      <c r="AF289" s="7">
        <f t="shared" si="82"/>
        <v>-0.18089537464230246</v>
      </c>
    </row>
    <row r="290" spans="1:32" x14ac:dyDescent="0.3">
      <c r="A290" s="1">
        <v>43466</v>
      </c>
      <c r="B290">
        <f>AEP!F290</f>
        <v>67.324791000000005</v>
      </c>
      <c r="C290">
        <f>DFSVX!F290</f>
        <v>26.877828999999998</v>
      </c>
      <c r="D290">
        <f>DFLVX!F290</f>
        <v>29.792406</v>
      </c>
      <c r="E290">
        <f>FSAGX!F290</f>
        <v>17.839812999999999</v>
      </c>
      <c r="F290" s="5">
        <f>'FRED Graph'!B300</f>
        <v>2.58</v>
      </c>
      <c r="G290" s="9">
        <f t="shared" si="67"/>
        <v>2.58E-2</v>
      </c>
      <c r="H290" s="10">
        <f t="shared" si="72"/>
        <v>0.19329523213576999</v>
      </c>
      <c r="I290" s="10">
        <f t="shared" si="73"/>
        <v>-6.3559875497754867E-2</v>
      </c>
      <c r="J290" s="10">
        <f t="shared" si="74"/>
        <v>-8.7310495513615596E-2</v>
      </c>
      <c r="K290" s="10">
        <f t="shared" si="74"/>
        <v>-8.2577621869192597E-2</v>
      </c>
      <c r="L290" s="10">
        <f t="shared" si="75"/>
        <v>0.12279523213577</v>
      </c>
      <c r="M290" s="10">
        <f t="shared" si="76"/>
        <v>-0.13405987549775486</v>
      </c>
      <c r="N290" s="10">
        <f t="shared" si="77"/>
        <v>-0.15781049551361559</v>
      </c>
      <c r="O290" s="10">
        <f t="shared" si="78"/>
        <v>-0.1530776218691926</v>
      </c>
      <c r="Y290" s="7">
        <f t="shared" si="68"/>
        <v>0.19329523213576999</v>
      </c>
      <c r="Z290" s="7">
        <f t="shared" si="69"/>
        <v>-6.3559875497754867E-2</v>
      </c>
      <c r="AA290" s="7">
        <f t="shared" si="70"/>
        <v>-8.7310495513615596E-2</v>
      </c>
      <c r="AB290" s="7">
        <f t="shared" si="71"/>
        <v>-8.2577621869192597E-2</v>
      </c>
      <c r="AC290" s="7">
        <f t="shared" si="79"/>
        <v>0.14239523213576999</v>
      </c>
      <c r="AD290" s="7">
        <f t="shared" si="80"/>
        <v>-0.11445987549775487</v>
      </c>
      <c r="AE290" s="7">
        <f t="shared" si="81"/>
        <v>-0.13821049551361558</v>
      </c>
      <c r="AF290" s="7">
        <f t="shared" si="82"/>
        <v>-0.1334776218691926</v>
      </c>
    </row>
    <row r="291" spans="1:32" x14ac:dyDescent="0.3">
      <c r="A291" s="1">
        <v>43497</v>
      </c>
      <c r="B291">
        <f>AEP!F291</f>
        <v>69.052154999999999</v>
      </c>
      <c r="C291">
        <f>DFSVX!F291</f>
        <v>27.757769</v>
      </c>
      <c r="D291">
        <f>DFLVX!F291</f>
        <v>30.534658</v>
      </c>
      <c r="E291">
        <f>FSAGX!F291</f>
        <v>17.700583000000002</v>
      </c>
      <c r="F291" s="5">
        <f>'FRED Graph'!B301</f>
        <v>2.5499999999999998</v>
      </c>
      <c r="G291" s="9">
        <f t="shared" si="67"/>
        <v>2.5499999999999998E-2</v>
      </c>
      <c r="H291" s="10">
        <f t="shared" si="72"/>
        <v>0.28363294522850607</v>
      </c>
      <c r="I291" s="10">
        <f t="shared" si="73"/>
        <v>1.4543754509801153E-2</v>
      </c>
      <c r="J291" s="10">
        <f t="shared" si="74"/>
        <v>-1.5754137883962127E-2</v>
      </c>
      <c r="K291" s="10">
        <f t="shared" si="74"/>
        <v>1.5441953971819179E-2</v>
      </c>
      <c r="L291" s="10">
        <f t="shared" si="75"/>
        <v>0.21313294522850607</v>
      </c>
      <c r="M291" s="10">
        <f t="shared" si="76"/>
        <v>-5.5956245490198842E-2</v>
      </c>
      <c r="N291" s="10">
        <f t="shared" si="77"/>
        <v>-8.625413788396212E-2</v>
      </c>
      <c r="O291" s="10">
        <f t="shared" si="78"/>
        <v>-5.5058046028180818E-2</v>
      </c>
      <c r="Y291" s="7">
        <f t="shared" si="68"/>
        <v>0.28363294522850607</v>
      </c>
      <c r="Z291" s="7">
        <f t="shared" si="69"/>
        <v>1.4543754509801153E-2</v>
      </c>
      <c r="AA291" s="7">
        <f t="shared" si="70"/>
        <v>-1.5754137883962127E-2</v>
      </c>
      <c r="AB291" s="7">
        <f t="shared" si="71"/>
        <v>1.5441953971819179E-2</v>
      </c>
      <c r="AC291" s="7">
        <f t="shared" si="79"/>
        <v>0.23273294522850607</v>
      </c>
      <c r="AD291" s="7">
        <f t="shared" si="80"/>
        <v>-3.6356245490198849E-2</v>
      </c>
      <c r="AE291" s="7">
        <f t="shared" si="81"/>
        <v>-6.6654137883962128E-2</v>
      </c>
      <c r="AF291" s="7">
        <f t="shared" si="82"/>
        <v>-3.5458046028180826E-2</v>
      </c>
    </row>
    <row r="292" spans="1:32" x14ac:dyDescent="0.3">
      <c r="A292" s="1">
        <v>43525</v>
      </c>
      <c r="B292">
        <f>AEP!F292</f>
        <v>71.872474999999994</v>
      </c>
      <c r="C292">
        <f>DFSVX!F292</f>
        <v>26.701853</v>
      </c>
      <c r="D292">
        <f>DFLVX!F292</f>
        <v>30.227523999999999</v>
      </c>
      <c r="E292">
        <f>FSAGX!F292</f>
        <v>17.802685</v>
      </c>
      <c r="F292" s="5">
        <f>'FRED Graph'!B302</f>
        <v>2.4900000000000002</v>
      </c>
      <c r="G292" s="9">
        <f t="shared" si="67"/>
        <v>2.4900000000000002E-2</v>
      </c>
      <c r="H292" s="10">
        <f t="shared" si="72"/>
        <v>0.26514067943266462</v>
      </c>
      <c r="I292" s="10">
        <f t="shared" si="73"/>
        <v>-3.3011143175652846E-2</v>
      </c>
      <c r="J292" s="10">
        <f t="shared" si="74"/>
        <v>1.5031398022063054E-3</v>
      </c>
      <c r="K292" s="10">
        <f t="shared" si="74"/>
        <v>7.882319292441993E-3</v>
      </c>
      <c r="L292" s="10">
        <f t="shared" si="75"/>
        <v>0.19464067943266461</v>
      </c>
      <c r="M292" s="10">
        <f t="shared" si="76"/>
        <v>-0.10351114317565284</v>
      </c>
      <c r="N292" s="10">
        <f t="shared" si="77"/>
        <v>-6.8996860197793691E-2</v>
      </c>
      <c r="O292" s="10">
        <f t="shared" si="78"/>
        <v>-6.2617680707557993E-2</v>
      </c>
      <c r="Y292" s="7">
        <f t="shared" si="68"/>
        <v>0.26514067943266462</v>
      </c>
      <c r="Z292" s="7">
        <f t="shared" si="69"/>
        <v>-3.3011143175652846E-2</v>
      </c>
      <c r="AA292" s="7">
        <f t="shared" si="70"/>
        <v>1.5031398022063054E-3</v>
      </c>
      <c r="AB292" s="7">
        <f t="shared" si="71"/>
        <v>7.882319292441993E-3</v>
      </c>
      <c r="AC292" s="7">
        <f t="shared" si="79"/>
        <v>0.21424067943266462</v>
      </c>
      <c r="AD292" s="7">
        <f t="shared" si="80"/>
        <v>-8.3911143175652847E-2</v>
      </c>
      <c r="AE292" s="7">
        <f t="shared" si="81"/>
        <v>-4.9396860197793699E-2</v>
      </c>
      <c r="AF292" s="7">
        <f t="shared" si="82"/>
        <v>-4.3017680707558008E-2</v>
      </c>
    </row>
    <row r="293" spans="1:32" x14ac:dyDescent="0.3">
      <c r="A293" s="1">
        <v>43556</v>
      </c>
      <c r="B293">
        <f>AEP!F293</f>
        <v>73.417205999999993</v>
      </c>
      <c r="C293">
        <f>DFSVX!F293</f>
        <v>27.823629</v>
      </c>
      <c r="D293">
        <f>DFLVX!F293</f>
        <v>31.427745999999999</v>
      </c>
      <c r="E293">
        <f>FSAGX!F293</f>
        <v>16.633165000000002</v>
      </c>
      <c r="F293" s="5">
        <f>'FRED Graph'!B303</f>
        <v>2.42</v>
      </c>
      <c r="G293" s="9">
        <f t="shared" si="67"/>
        <v>2.4199999999999999E-2</v>
      </c>
      <c r="H293" s="10">
        <f t="shared" si="72"/>
        <v>0.26666256046723708</v>
      </c>
      <c r="I293" s="10">
        <f t="shared" si="73"/>
        <v>-5.5730681407045648E-3</v>
      </c>
      <c r="J293" s="10">
        <f t="shared" si="74"/>
        <v>3.5002385319735208E-2</v>
      </c>
      <c r="K293" s="10">
        <f t="shared" si="74"/>
        <v>-6.909097604784141E-2</v>
      </c>
      <c r="L293" s="10">
        <f t="shared" si="75"/>
        <v>0.19616256046723707</v>
      </c>
      <c r="M293" s="10">
        <f t="shared" si="76"/>
        <v>-7.6073068140704553E-2</v>
      </c>
      <c r="N293" s="10">
        <f t="shared" si="77"/>
        <v>-3.5497614680264786E-2</v>
      </c>
      <c r="O293" s="10">
        <f t="shared" si="78"/>
        <v>-0.1395909760478414</v>
      </c>
      <c r="Y293" s="7">
        <f t="shared" si="68"/>
        <v>0.26666256046723708</v>
      </c>
      <c r="Z293" s="7">
        <f t="shared" si="69"/>
        <v>-5.5730681407045648E-3</v>
      </c>
      <c r="AA293" s="7">
        <f t="shared" si="70"/>
        <v>3.5002385319735208E-2</v>
      </c>
      <c r="AB293" s="7">
        <f t="shared" si="71"/>
        <v>-6.909097604784141E-2</v>
      </c>
      <c r="AC293" s="7">
        <f t="shared" si="79"/>
        <v>0.21576256046723707</v>
      </c>
      <c r="AD293" s="7">
        <f t="shared" si="80"/>
        <v>-5.6473068140704567E-2</v>
      </c>
      <c r="AE293" s="7">
        <f t="shared" si="81"/>
        <v>-1.5897614680264793E-2</v>
      </c>
      <c r="AF293" s="7">
        <f t="shared" si="82"/>
        <v>-0.11999097604784141</v>
      </c>
    </row>
    <row r="294" spans="1:32" x14ac:dyDescent="0.3">
      <c r="A294" s="1">
        <v>43586</v>
      </c>
      <c r="B294">
        <f>AEP!F294</f>
        <v>73.906363999999996</v>
      </c>
      <c r="C294">
        <f>DFSVX!F294</f>
        <v>24.619064000000002</v>
      </c>
      <c r="D294">
        <f>DFLVX!F294</f>
        <v>28.992415999999999</v>
      </c>
      <c r="E294">
        <f>FSAGX!F294</f>
        <v>17.329308999999999</v>
      </c>
      <c r="F294" s="5">
        <f>'FRED Graph'!B304</f>
        <v>2.34</v>
      </c>
      <c r="G294" s="9">
        <f t="shared" si="67"/>
        <v>2.3399999999999997E-2</v>
      </c>
      <c r="H294" s="10">
        <f t="shared" si="72"/>
        <v>0.3131953772466789</v>
      </c>
      <c r="I294" s="10">
        <f t="shared" si="73"/>
        <v>-0.17217551232330172</v>
      </c>
      <c r="J294" s="10">
        <f t="shared" si="74"/>
        <v>-5.3893150003395542E-2</v>
      </c>
      <c r="K294" s="10">
        <f t="shared" si="74"/>
        <v>-3.0129856407042535E-2</v>
      </c>
      <c r="L294" s="10">
        <f t="shared" si="75"/>
        <v>0.24269537724667889</v>
      </c>
      <c r="M294" s="10">
        <f t="shared" si="76"/>
        <v>-0.2426755123233017</v>
      </c>
      <c r="N294" s="10">
        <f t="shared" si="77"/>
        <v>-0.12439315000339554</v>
      </c>
      <c r="O294" s="10">
        <f t="shared" si="78"/>
        <v>-0.10062985640704253</v>
      </c>
      <c r="Y294" s="7">
        <f t="shared" si="68"/>
        <v>0.3131953772466789</v>
      </c>
      <c r="Z294" s="7">
        <f t="shared" si="69"/>
        <v>-0.17217551232330172</v>
      </c>
      <c r="AA294" s="7">
        <f t="shared" si="70"/>
        <v>-5.3893150003395542E-2</v>
      </c>
      <c r="AB294" s="7">
        <f t="shared" si="71"/>
        <v>-3.0129856407042535E-2</v>
      </c>
      <c r="AC294" s="7">
        <f t="shared" si="79"/>
        <v>0.2622953772466789</v>
      </c>
      <c r="AD294" s="7">
        <f t="shared" si="80"/>
        <v>-0.22307551232330172</v>
      </c>
      <c r="AE294" s="7">
        <f t="shared" si="81"/>
        <v>-0.10479315000339554</v>
      </c>
      <c r="AF294" s="7">
        <f t="shared" si="82"/>
        <v>-8.1029856407042536E-2</v>
      </c>
    </row>
    <row r="295" spans="1:32" x14ac:dyDescent="0.3">
      <c r="A295" s="1">
        <v>43617</v>
      </c>
      <c r="B295">
        <f>AEP!F295</f>
        <v>76.137580999999997</v>
      </c>
      <c r="C295">
        <f>DFSVX!F295</f>
        <v>26.445667</v>
      </c>
      <c r="D295">
        <f>DFLVX!F295</f>
        <v>31.144772</v>
      </c>
      <c r="E295">
        <f>FSAGX!F295</f>
        <v>20.123161</v>
      </c>
      <c r="F295" s="5">
        <f>'FRED Graph'!B305</f>
        <v>2</v>
      </c>
      <c r="G295" s="9">
        <f t="shared" si="67"/>
        <v>0.02</v>
      </c>
      <c r="H295" s="10">
        <f t="shared" si="72"/>
        <v>0.3152056684090499</v>
      </c>
      <c r="I295" s="10">
        <f t="shared" si="73"/>
        <v>-0.10941556537989411</v>
      </c>
      <c r="J295" s="10">
        <f t="shared" si="74"/>
        <v>2.8653961180703225E-2</v>
      </c>
      <c r="K295" s="10">
        <f t="shared" si="74"/>
        <v>0.13626839412562453</v>
      </c>
      <c r="L295" s="10">
        <f t="shared" si="75"/>
        <v>0.24470566840904989</v>
      </c>
      <c r="M295" s="10">
        <f t="shared" si="76"/>
        <v>-0.17991556537989412</v>
      </c>
      <c r="N295" s="10">
        <f t="shared" si="77"/>
        <v>-4.1846038819296771E-2</v>
      </c>
      <c r="O295" s="10">
        <f t="shared" si="78"/>
        <v>6.5768394125624532E-2</v>
      </c>
      <c r="Y295" s="7">
        <f t="shared" si="68"/>
        <v>0.3152056684090499</v>
      </c>
      <c r="Z295" s="7">
        <f t="shared" si="69"/>
        <v>-0.10941556537989411</v>
      </c>
      <c r="AA295" s="7">
        <f t="shared" si="70"/>
        <v>2.8653961180703225E-2</v>
      </c>
      <c r="AB295" s="7">
        <f t="shared" si="71"/>
        <v>0.13626839412562453</v>
      </c>
      <c r="AC295" s="7">
        <f t="shared" si="79"/>
        <v>0.2643056684090499</v>
      </c>
      <c r="AD295" s="7">
        <f t="shared" si="80"/>
        <v>-0.16031556537989411</v>
      </c>
      <c r="AE295" s="7">
        <f t="shared" si="81"/>
        <v>-2.2246038819296775E-2</v>
      </c>
      <c r="AF295" s="7">
        <f t="shared" si="82"/>
        <v>8.5368394125624525E-2</v>
      </c>
    </row>
    <row r="296" spans="1:32" x14ac:dyDescent="0.3">
      <c r="A296" s="1">
        <v>43647</v>
      </c>
      <c r="B296">
        <f>AEP!F296</f>
        <v>75.964554000000007</v>
      </c>
      <c r="C296">
        <f>DFSVX!F296</f>
        <v>26.637051</v>
      </c>
      <c r="D296">
        <f>DFLVX!F296</f>
        <v>31.649338</v>
      </c>
      <c r="E296">
        <f>FSAGX!F296</f>
        <v>20.698634999999999</v>
      </c>
      <c r="F296" s="5">
        <f>'FRED Graph'!B306</f>
        <v>1.96</v>
      </c>
      <c r="G296" s="9">
        <f t="shared" si="67"/>
        <v>1.9599999999999999E-2</v>
      </c>
      <c r="H296" s="10">
        <f t="shared" si="72"/>
        <v>0.27735520190385149</v>
      </c>
      <c r="I296" s="10">
        <f t="shared" si="73"/>
        <v>-0.11903699951528438</v>
      </c>
      <c r="J296" s="10">
        <f t="shared" si="74"/>
        <v>-1.1904859210514894E-3</v>
      </c>
      <c r="K296" s="10">
        <f t="shared" si="74"/>
        <v>0.20932712107179383</v>
      </c>
      <c r="L296" s="10">
        <f t="shared" si="75"/>
        <v>0.20685520190385148</v>
      </c>
      <c r="M296" s="10">
        <f t="shared" si="76"/>
        <v>-0.18953699951528435</v>
      </c>
      <c r="N296" s="10">
        <f t="shared" si="77"/>
        <v>-7.1690485921051483E-2</v>
      </c>
      <c r="O296" s="10">
        <f t="shared" si="78"/>
        <v>0.13882712107179385</v>
      </c>
      <c r="Y296" s="7">
        <f t="shared" si="68"/>
        <v>0.27735520190385149</v>
      </c>
      <c r="Z296" s="7">
        <f t="shared" si="69"/>
        <v>-0.11903699951528438</v>
      </c>
      <c r="AA296" s="7">
        <f t="shared" si="70"/>
        <v>-1.1904859210514894E-3</v>
      </c>
      <c r="AB296" s="7">
        <f t="shared" si="71"/>
        <v>0.20932712107179383</v>
      </c>
      <c r="AC296" s="7">
        <f t="shared" si="79"/>
        <v>0.22645520190385149</v>
      </c>
      <c r="AD296" s="7">
        <f t="shared" si="80"/>
        <v>-0.16993699951528438</v>
      </c>
      <c r="AE296" s="7">
        <f t="shared" si="81"/>
        <v>-5.2090485921051491E-2</v>
      </c>
      <c r="AF296" s="7">
        <f t="shared" si="82"/>
        <v>0.15842712107179382</v>
      </c>
    </row>
    <row r="297" spans="1:32" x14ac:dyDescent="0.3">
      <c r="A297" s="1">
        <v>43678</v>
      </c>
      <c r="B297">
        <f>AEP!F297</f>
        <v>78.853995999999995</v>
      </c>
      <c r="C297">
        <f>DFSVX!F297</f>
        <v>24.507052999999999</v>
      </c>
      <c r="D297">
        <f>DFLVX!F297</f>
        <v>30.347142999999999</v>
      </c>
      <c r="E297">
        <f>FSAGX!F297</f>
        <v>22.879885000000002</v>
      </c>
      <c r="F297" s="5">
        <f>'FRED Graph'!B307</f>
        <v>1.77</v>
      </c>
      <c r="G297" s="9">
        <f t="shared" si="67"/>
        <v>1.77E-2</v>
      </c>
      <c r="H297" s="10">
        <f t="shared" si="72"/>
        <v>0.3150351531858267</v>
      </c>
      <c r="I297" s="10">
        <f t="shared" si="73"/>
        <v>-0.21188277026771712</v>
      </c>
      <c r="J297" s="10">
        <f t="shared" si="74"/>
        <v>-5.5892534962797419E-2</v>
      </c>
      <c r="K297" s="10">
        <f t="shared" si="74"/>
        <v>0.52442798184242589</v>
      </c>
      <c r="L297" s="10">
        <f t="shared" si="75"/>
        <v>0.24453515318582669</v>
      </c>
      <c r="M297" s="10">
        <f t="shared" si="76"/>
        <v>-0.28238277026771713</v>
      </c>
      <c r="N297" s="10">
        <f t="shared" si="77"/>
        <v>-0.1263925349627974</v>
      </c>
      <c r="O297" s="10">
        <f t="shared" si="78"/>
        <v>0.45392798184242589</v>
      </c>
      <c r="Y297" s="7">
        <f t="shared" si="68"/>
        <v>0.3150351531858267</v>
      </c>
      <c r="Z297" s="7">
        <f t="shared" si="69"/>
        <v>-0.21188277026771712</v>
      </c>
      <c r="AA297" s="7">
        <f t="shared" si="70"/>
        <v>-5.5892534962797419E-2</v>
      </c>
      <c r="AB297" s="7">
        <f t="shared" si="71"/>
        <v>0.52442798184242589</v>
      </c>
      <c r="AC297" s="7">
        <f t="shared" si="79"/>
        <v>0.2641351531858267</v>
      </c>
      <c r="AD297" s="7">
        <f t="shared" si="80"/>
        <v>-0.26278277026771713</v>
      </c>
      <c r="AE297" s="7">
        <f t="shared" si="81"/>
        <v>-0.10679253496279742</v>
      </c>
      <c r="AF297" s="7">
        <f t="shared" si="82"/>
        <v>0.47352798184242589</v>
      </c>
    </row>
    <row r="298" spans="1:32" x14ac:dyDescent="0.3">
      <c r="A298" s="1">
        <v>43709</v>
      </c>
      <c r="B298">
        <f>AEP!F298</f>
        <v>81.661034000000001</v>
      </c>
      <c r="C298">
        <f>DFSVX!F298</f>
        <v>25.881508</v>
      </c>
      <c r="D298">
        <f>DFLVX!F298</f>
        <v>31.356121000000002</v>
      </c>
      <c r="E298">
        <f>FSAGX!F298</f>
        <v>20.624382000000001</v>
      </c>
      <c r="F298" s="5">
        <f>'FRED Graph'!B308</f>
        <v>1.8</v>
      </c>
      <c r="G298" s="9">
        <f t="shared" si="67"/>
        <v>1.8000000000000002E-2</v>
      </c>
      <c r="H298" s="10">
        <f t="shared" si="72"/>
        <v>0.36613237447646685</v>
      </c>
      <c r="I298" s="10">
        <f t="shared" si="73"/>
        <v>-0.13784524904127515</v>
      </c>
      <c r="J298" s="10">
        <f t="shared" si="74"/>
        <v>-2.0352109512189319E-2</v>
      </c>
      <c r="K298" s="10">
        <f t="shared" si="74"/>
        <v>0.38098209149024392</v>
      </c>
      <c r="L298" s="10">
        <f t="shared" si="75"/>
        <v>0.29563237447646684</v>
      </c>
      <c r="M298" s="10">
        <f t="shared" si="76"/>
        <v>-0.20834524904127516</v>
      </c>
      <c r="N298" s="10">
        <f t="shared" si="77"/>
        <v>-9.0852109512189305E-2</v>
      </c>
      <c r="O298" s="10">
        <f t="shared" si="78"/>
        <v>0.31048209149024392</v>
      </c>
      <c r="Y298" s="7">
        <f t="shared" si="68"/>
        <v>0.36613237447646685</v>
      </c>
      <c r="Z298" s="7">
        <f t="shared" si="69"/>
        <v>-0.13784524904127515</v>
      </c>
      <c r="AA298" s="7">
        <f t="shared" si="70"/>
        <v>-2.0352109512189319E-2</v>
      </c>
      <c r="AB298" s="7">
        <f t="shared" si="71"/>
        <v>0.38098209149024392</v>
      </c>
      <c r="AC298" s="7">
        <f t="shared" si="79"/>
        <v>0.31523237447646685</v>
      </c>
      <c r="AD298" s="7">
        <f t="shared" si="80"/>
        <v>-0.18874524904127515</v>
      </c>
      <c r="AE298" s="7">
        <f t="shared" si="81"/>
        <v>-7.1252109512189327E-2</v>
      </c>
      <c r="AF298" s="7">
        <f t="shared" si="82"/>
        <v>0.33008209149024392</v>
      </c>
    </row>
    <row r="299" spans="1:32" x14ac:dyDescent="0.3">
      <c r="A299" s="1">
        <v>43739</v>
      </c>
      <c r="B299">
        <f>AEP!F299</f>
        <v>82.271172000000007</v>
      </c>
      <c r="C299">
        <f>DFSVX!F299</f>
        <v>26.442347999999999</v>
      </c>
      <c r="D299">
        <f>DFLVX!F299</f>
        <v>32.210842</v>
      </c>
      <c r="E299">
        <f>FSAGX!F299</f>
        <v>21.227706999999999</v>
      </c>
      <c r="F299" s="5">
        <f>'FRED Graph'!B309</f>
        <v>1.61</v>
      </c>
      <c r="G299" s="9">
        <f t="shared" si="67"/>
        <v>1.61E-2</v>
      </c>
      <c r="H299" s="10">
        <f t="shared" si="72"/>
        <v>0.3298116160452943</v>
      </c>
      <c r="I299" s="10">
        <f t="shared" si="73"/>
        <v>-3.037096898042007E-2</v>
      </c>
      <c r="J299" s="10">
        <f t="shared" si="74"/>
        <v>6.9387099511554112E-2</v>
      </c>
      <c r="K299" s="10">
        <f t="shared" si="74"/>
        <v>0.40392881953538229</v>
      </c>
      <c r="L299" s="10">
        <f t="shared" si="75"/>
        <v>0.25931161604529429</v>
      </c>
      <c r="M299" s="10">
        <f t="shared" si="76"/>
        <v>-0.10087096898042006</v>
      </c>
      <c r="N299" s="10">
        <f t="shared" si="77"/>
        <v>-1.112900488445881E-3</v>
      </c>
      <c r="O299" s="10">
        <f t="shared" si="78"/>
        <v>0.33342881953538228</v>
      </c>
      <c r="Y299" s="7">
        <f t="shared" si="68"/>
        <v>0.3298116160452943</v>
      </c>
      <c r="Z299" s="7">
        <f t="shared" si="69"/>
        <v>-3.037096898042007E-2</v>
      </c>
      <c r="AA299" s="7">
        <f t="shared" si="70"/>
        <v>6.9387099511554112E-2</v>
      </c>
      <c r="AB299" s="7">
        <f t="shared" si="71"/>
        <v>0.40392881953538229</v>
      </c>
      <c r="AC299" s="7">
        <f t="shared" si="79"/>
        <v>0.2789116160452943</v>
      </c>
      <c r="AD299" s="7">
        <f t="shared" si="80"/>
        <v>-8.1270968980420077E-2</v>
      </c>
      <c r="AE299" s="7">
        <f t="shared" si="81"/>
        <v>1.8487099511554111E-2</v>
      </c>
      <c r="AF299" s="7">
        <f t="shared" si="82"/>
        <v>0.35302881953538229</v>
      </c>
    </row>
    <row r="300" spans="1:32" x14ac:dyDescent="0.3">
      <c r="A300" s="1">
        <v>43770</v>
      </c>
      <c r="B300">
        <f>AEP!F300</f>
        <v>79.621467999999993</v>
      </c>
      <c r="C300">
        <f>DFSVX!F300</f>
        <v>27.281016999999999</v>
      </c>
      <c r="D300">
        <f>DFLVX!F300</f>
        <v>33.468735000000002</v>
      </c>
      <c r="E300">
        <f>FSAGX!F300</f>
        <v>20.466588999999999</v>
      </c>
      <c r="F300" s="5">
        <f>'FRED Graph'!B310</f>
        <v>1.57</v>
      </c>
      <c r="G300" s="9">
        <f t="shared" si="67"/>
        <v>1.5700000000000002E-2</v>
      </c>
      <c r="H300" s="10">
        <f t="shared" si="72"/>
        <v>0.21447144323420009</v>
      </c>
      <c r="I300" s="10">
        <f t="shared" si="73"/>
        <v>-8.6077115743243282E-3</v>
      </c>
      <c r="J300" s="10">
        <f t="shared" si="74"/>
        <v>8.5895786273096644E-2</v>
      </c>
      <c r="K300" s="10">
        <f t="shared" si="74"/>
        <v>0.3577585514899157</v>
      </c>
      <c r="L300" s="10">
        <f t="shared" si="75"/>
        <v>0.14397144323420008</v>
      </c>
      <c r="M300" s="10">
        <f t="shared" si="76"/>
        <v>-7.9107711574324321E-2</v>
      </c>
      <c r="N300" s="10">
        <f t="shared" si="77"/>
        <v>1.5395786273096651E-2</v>
      </c>
      <c r="O300" s="10">
        <f t="shared" si="78"/>
        <v>0.28725855148991569</v>
      </c>
      <c r="Y300" s="7">
        <f t="shared" si="68"/>
        <v>0.21447144323420009</v>
      </c>
      <c r="Z300" s="7">
        <f t="shared" si="69"/>
        <v>-8.6077115743243282E-3</v>
      </c>
      <c r="AA300" s="7">
        <f t="shared" si="70"/>
        <v>8.5895786273096644E-2</v>
      </c>
      <c r="AB300" s="7">
        <f t="shared" si="71"/>
        <v>0.3577585514899157</v>
      </c>
      <c r="AC300" s="7">
        <f t="shared" si="79"/>
        <v>0.16357144323420009</v>
      </c>
      <c r="AD300" s="7">
        <f t="shared" si="80"/>
        <v>-5.9507711574324329E-2</v>
      </c>
      <c r="AE300" s="7">
        <f t="shared" si="81"/>
        <v>3.4995786273096643E-2</v>
      </c>
      <c r="AF300" s="7">
        <f t="shared" si="82"/>
        <v>0.3068585514899157</v>
      </c>
    </row>
    <row r="301" spans="1:32" x14ac:dyDescent="0.3">
      <c r="A301" s="1">
        <v>43800</v>
      </c>
      <c r="B301">
        <f>AEP!F301</f>
        <v>83.007476999999994</v>
      </c>
      <c r="C301">
        <f>DFSVX!F301</f>
        <v>27.772933999999999</v>
      </c>
      <c r="D301">
        <f>DFLVX!F301</f>
        <v>33.555481</v>
      </c>
      <c r="E301">
        <f>FSAGX!F301</f>
        <v>22.629270999999999</v>
      </c>
      <c r="F301" s="5">
        <f>'FRED Graph'!B311</f>
        <v>1.55</v>
      </c>
      <c r="G301" s="9">
        <f t="shared" si="67"/>
        <v>1.55E-2</v>
      </c>
      <c r="H301" s="10">
        <f t="shared" si="72"/>
        <v>0.30519514274655485</v>
      </c>
      <c r="I301" s="10">
        <f t="shared" si="73"/>
        <v>0.23534441162006681</v>
      </c>
      <c r="J301" s="10">
        <f t="shared" si="74"/>
        <v>0.29669627932528087</v>
      </c>
      <c r="K301" s="10">
        <f t="shared" si="74"/>
        <v>0.34919759805280004</v>
      </c>
      <c r="L301" s="10">
        <f t="shared" si="75"/>
        <v>0.23469514274655484</v>
      </c>
      <c r="M301" s="10">
        <f t="shared" si="76"/>
        <v>0.1648444116200668</v>
      </c>
      <c r="N301" s="10">
        <f t="shared" si="77"/>
        <v>0.22619627932528086</v>
      </c>
      <c r="O301" s="10">
        <f t="shared" si="78"/>
        <v>0.27869759805280003</v>
      </c>
      <c r="Y301" s="7">
        <f t="shared" si="68"/>
        <v>0.30519514274655485</v>
      </c>
      <c r="Z301" s="7">
        <f t="shared" si="69"/>
        <v>0.23534441162006681</v>
      </c>
      <c r="AA301" s="7">
        <f t="shared" si="70"/>
        <v>0.29669627932528087</v>
      </c>
      <c r="AB301" s="7">
        <f t="shared" si="71"/>
        <v>0.34919759805280004</v>
      </c>
      <c r="AC301" s="7">
        <f t="shared" si="79"/>
        <v>0.25429514274655485</v>
      </c>
      <c r="AD301" s="7">
        <f t="shared" si="80"/>
        <v>0.18444441162006681</v>
      </c>
      <c r="AE301" s="7">
        <f t="shared" si="81"/>
        <v>0.24579627932528086</v>
      </c>
      <c r="AF301" s="7">
        <f t="shared" si="82"/>
        <v>0.29829759805280004</v>
      </c>
    </row>
    <row r="302" spans="1:32" x14ac:dyDescent="0.3">
      <c r="A302" s="1">
        <v>43831</v>
      </c>
      <c r="B302">
        <f>AEP!F302</f>
        <v>91.535697999999996</v>
      </c>
      <c r="C302">
        <f>DFSVX!F302</f>
        <v>26.404088999999999</v>
      </c>
      <c r="D302">
        <f>DFLVX!F302</f>
        <v>32.987133</v>
      </c>
      <c r="E302">
        <f>FSAGX!F302</f>
        <v>22.791698</v>
      </c>
      <c r="F302" s="5">
        <f>'FRED Graph'!B312</f>
        <v>1.53</v>
      </c>
      <c r="G302" s="9">
        <f t="shared" si="67"/>
        <v>1.5300000000000001E-2</v>
      </c>
      <c r="H302" s="10">
        <f t="shared" si="72"/>
        <v>0.35961354859608835</v>
      </c>
      <c r="I302" s="10">
        <f t="shared" si="73"/>
        <v>-1.7625679514517316E-2</v>
      </c>
      <c r="J302" s="10">
        <f t="shared" si="74"/>
        <v>0.1072329304320034</v>
      </c>
      <c r="K302" s="10">
        <f t="shared" si="74"/>
        <v>0.27757493870591587</v>
      </c>
      <c r="L302" s="10">
        <f t="shared" si="75"/>
        <v>0.28911354859608834</v>
      </c>
      <c r="M302" s="10">
        <f t="shared" si="76"/>
        <v>-8.8125679514517302E-2</v>
      </c>
      <c r="N302" s="10">
        <f t="shared" si="77"/>
        <v>3.6732930432003402E-2</v>
      </c>
      <c r="O302" s="10">
        <f t="shared" si="78"/>
        <v>0.20707493870591587</v>
      </c>
      <c r="Y302" s="7">
        <f t="shared" si="68"/>
        <v>0.35961354859608835</v>
      </c>
      <c r="Z302" s="7">
        <f t="shared" si="69"/>
        <v>-1.7625679514517316E-2</v>
      </c>
      <c r="AA302" s="7">
        <f t="shared" si="70"/>
        <v>0.1072329304320034</v>
      </c>
      <c r="AB302" s="7">
        <f t="shared" si="71"/>
        <v>0.27757493870591587</v>
      </c>
      <c r="AC302" s="7">
        <f t="shared" si="79"/>
        <v>0.30871354859608835</v>
      </c>
      <c r="AD302" s="7">
        <f t="shared" si="80"/>
        <v>-6.8525679514517324E-2</v>
      </c>
      <c r="AE302" s="7">
        <f t="shared" si="81"/>
        <v>5.6332930432003395E-2</v>
      </c>
      <c r="AF302" s="7">
        <f t="shared" si="82"/>
        <v>0.22667493870591587</v>
      </c>
    </row>
    <row r="303" spans="1:32" x14ac:dyDescent="0.3">
      <c r="A303" s="1">
        <v>43862</v>
      </c>
      <c r="B303">
        <f>AEP!F303</f>
        <v>78.396422999999999</v>
      </c>
      <c r="C303">
        <f>DFSVX!F303</f>
        <v>23.55538</v>
      </c>
      <c r="D303">
        <f>DFLVX!F303</f>
        <v>29.500757</v>
      </c>
      <c r="E303">
        <f>FSAGX!F303</f>
        <v>20.815487000000001</v>
      </c>
      <c r="F303" s="5">
        <f>'FRED Graph'!B313</f>
        <v>1.41</v>
      </c>
      <c r="G303" s="9">
        <f t="shared" si="67"/>
        <v>1.41E-2</v>
      </c>
      <c r="H303" s="10">
        <f t="shared" si="72"/>
        <v>0.13532188821623306</v>
      </c>
      <c r="I303" s="10">
        <f t="shared" si="73"/>
        <v>-0.15139505628136038</v>
      </c>
      <c r="J303" s="10">
        <f t="shared" si="74"/>
        <v>-3.3859917474759346E-2</v>
      </c>
      <c r="K303" s="10">
        <f t="shared" si="74"/>
        <v>0.17597748051575471</v>
      </c>
      <c r="L303" s="10">
        <f t="shared" si="75"/>
        <v>6.4821888216233067E-2</v>
      </c>
      <c r="M303" s="10">
        <f t="shared" si="76"/>
        <v>-0.22189505628136036</v>
      </c>
      <c r="N303" s="10">
        <f t="shared" si="77"/>
        <v>-0.10435991747475934</v>
      </c>
      <c r="O303" s="10">
        <f t="shared" si="78"/>
        <v>0.10547748051575472</v>
      </c>
      <c r="Y303" s="7">
        <f t="shared" si="68"/>
        <v>0.13532188821623306</v>
      </c>
      <c r="Z303" s="7">
        <f t="shared" si="69"/>
        <v>-0.15139505628136038</v>
      </c>
      <c r="AA303" s="7">
        <f t="shared" si="70"/>
        <v>-3.3859917474759346E-2</v>
      </c>
      <c r="AB303" s="7">
        <f t="shared" si="71"/>
        <v>0.17597748051575471</v>
      </c>
      <c r="AC303" s="7">
        <f t="shared" si="79"/>
        <v>8.442188821623306E-2</v>
      </c>
      <c r="AD303" s="7">
        <f t="shared" si="80"/>
        <v>-0.20229505628136038</v>
      </c>
      <c r="AE303" s="7">
        <f t="shared" si="81"/>
        <v>-8.4759917474759347E-2</v>
      </c>
      <c r="AF303" s="7">
        <f t="shared" si="82"/>
        <v>0.12507748051575471</v>
      </c>
    </row>
    <row r="304" spans="1:32" x14ac:dyDescent="0.3">
      <c r="A304" s="1">
        <v>43891</v>
      </c>
      <c r="B304">
        <f>AEP!F304</f>
        <v>70.730086999999997</v>
      </c>
      <c r="C304">
        <f>DFSVX!F304</f>
        <v>17.240462999999998</v>
      </c>
      <c r="D304">
        <f>DFLVX!F304</f>
        <v>23.381823000000001</v>
      </c>
      <c r="E304">
        <f>FSAGX!F304</f>
        <v>18.391825000000001</v>
      </c>
      <c r="F304" s="5">
        <f>'FRED Graph'!B314</f>
        <v>0.33</v>
      </c>
      <c r="G304" s="9">
        <f t="shared" si="67"/>
        <v>3.3E-3</v>
      </c>
      <c r="H304" s="10">
        <f t="shared" si="72"/>
        <v>-1.5894652299089422E-2</v>
      </c>
      <c r="I304" s="10">
        <f t="shared" si="73"/>
        <v>-0.35433458494434833</v>
      </c>
      <c r="J304" s="10">
        <f t="shared" si="74"/>
        <v>-0.22647243618101168</v>
      </c>
      <c r="K304" s="10">
        <f t="shared" si="74"/>
        <v>3.309276100767948E-2</v>
      </c>
      <c r="L304" s="10">
        <f t="shared" si="75"/>
        <v>-8.6394652299089408E-2</v>
      </c>
      <c r="M304" s="10">
        <f t="shared" si="76"/>
        <v>-0.42483458494434834</v>
      </c>
      <c r="N304" s="10">
        <f t="shared" si="77"/>
        <v>-0.29697243618101166</v>
      </c>
      <c r="O304" s="10">
        <f t="shared" si="78"/>
        <v>-3.7407238992320513E-2</v>
      </c>
      <c r="Y304" s="7">
        <f t="shared" si="68"/>
        <v>-1.5894652299089422E-2</v>
      </c>
      <c r="Z304" s="7">
        <f t="shared" si="69"/>
        <v>-0.35433458494434833</v>
      </c>
      <c r="AA304" s="7">
        <f t="shared" si="70"/>
        <v>-0.22647243618101168</v>
      </c>
      <c r="AB304" s="7">
        <f t="shared" si="71"/>
        <v>3.309276100767948E-2</v>
      </c>
      <c r="AC304" s="7">
        <f t="shared" si="79"/>
        <v>-6.679465229908943E-2</v>
      </c>
      <c r="AD304" s="7">
        <f t="shared" si="80"/>
        <v>-0.40523458494434833</v>
      </c>
      <c r="AE304" s="7">
        <f t="shared" si="81"/>
        <v>-0.27737243618101171</v>
      </c>
      <c r="AF304" s="7">
        <f t="shared" si="82"/>
        <v>-1.780723899232052E-2</v>
      </c>
    </row>
    <row r="305" spans="1:32" x14ac:dyDescent="0.3">
      <c r="A305" s="1">
        <v>43922</v>
      </c>
      <c r="B305">
        <f>AEP!F305</f>
        <v>73.498085000000003</v>
      </c>
      <c r="C305">
        <f>DFSVX!F305</f>
        <v>20.024773</v>
      </c>
      <c r="D305">
        <f>DFLVX!F305</f>
        <v>26.643908</v>
      </c>
      <c r="E305">
        <f>FSAGX!F305</f>
        <v>25.364502000000002</v>
      </c>
      <c r="F305" s="5">
        <f>'FRED Graph'!B315</f>
        <v>0.18</v>
      </c>
      <c r="G305" s="9">
        <f t="shared" si="67"/>
        <v>1.8E-3</v>
      </c>
      <c r="H305" s="10">
        <f t="shared" si="72"/>
        <v>1.1016354940013673E-3</v>
      </c>
      <c r="I305" s="10">
        <f t="shared" si="73"/>
        <v>-0.28029614684698395</v>
      </c>
      <c r="J305" s="10">
        <f t="shared" si="74"/>
        <v>-0.15221702504532139</v>
      </c>
      <c r="K305" s="10">
        <f t="shared" si="74"/>
        <v>0.52493539263273103</v>
      </c>
      <c r="L305" s="10">
        <f t="shared" si="75"/>
        <v>-6.9398364505998622E-2</v>
      </c>
      <c r="M305" s="10">
        <f t="shared" si="76"/>
        <v>-0.35079614684698396</v>
      </c>
      <c r="N305" s="10">
        <f t="shared" si="77"/>
        <v>-0.22271702504532137</v>
      </c>
      <c r="O305" s="10">
        <f t="shared" si="78"/>
        <v>0.45443539263273103</v>
      </c>
      <c r="Y305" s="7">
        <f t="shared" si="68"/>
        <v>1.1016354940013673E-3</v>
      </c>
      <c r="Z305" s="7">
        <f t="shared" si="69"/>
        <v>-0.28029614684698395</v>
      </c>
      <c r="AA305" s="7">
        <f t="shared" si="70"/>
        <v>-0.15221702504532139</v>
      </c>
      <c r="AB305" s="7">
        <f t="shared" si="71"/>
        <v>0.52493539263273103</v>
      </c>
      <c r="AC305" s="7">
        <f t="shared" si="79"/>
        <v>-4.9798364505998637E-2</v>
      </c>
      <c r="AD305" s="7">
        <f t="shared" si="80"/>
        <v>-0.33119614684698395</v>
      </c>
      <c r="AE305" s="7">
        <f t="shared" si="81"/>
        <v>-0.20311702504532139</v>
      </c>
      <c r="AF305" s="7">
        <f t="shared" si="82"/>
        <v>0.47403539263273103</v>
      </c>
    </row>
    <row r="306" spans="1:32" x14ac:dyDescent="0.3">
      <c r="A306" s="1">
        <v>43952</v>
      </c>
      <c r="B306">
        <f>AEP!F306</f>
        <v>75.390609999999995</v>
      </c>
      <c r="C306">
        <f>DFSVX!F306</f>
        <v>20.594550999999999</v>
      </c>
      <c r="D306">
        <f>DFLVX!F306</f>
        <v>27.665572999999998</v>
      </c>
      <c r="E306">
        <f>FSAGX!F306</f>
        <v>26.853037</v>
      </c>
      <c r="F306" s="5">
        <f>'FRED Graph'!B316</f>
        <v>0.16</v>
      </c>
      <c r="G306" s="9">
        <f t="shared" si="67"/>
        <v>1.6000000000000001E-3</v>
      </c>
      <c r="H306" s="10">
        <f t="shared" si="72"/>
        <v>2.0082790164051352E-2</v>
      </c>
      <c r="I306" s="10">
        <f t="shared" si="73"/>
        <v>-0.16347140573662761</v>
      </c>
      <c r="J306" s="10">
        <f t="shared" si="74"/>
        <v>-4.5765175278941923E-2</v>
      </c>
      <c r="K306" s="10">
        <f t="shared" si="74"/>
        <v>0.54957344231094285</v>
      </c>
      <c r="L306" s="10">
        <f t="shared" si="75"/>
        <v>-5.0417209835948641E-2</v>
      </c>
      <c r="M306" s="10">
        <f t="shared" si="76"/>
        <v>-0.23397140573662761</v>
      </c>
      <c r="N306" s="10">
        <f t="shared" si="77"/>
        <v>-0.11626517527894192</v>
      </c>
      <c r="O306" s="10">
        <f t="shared" si="78"/>
        <v>0.47907344231094284</v>
      </c>
      <c r="Y306" s="7">
        <f t="shared" si="68"/>
        <v>2.0082790164051352E-2</v>
      </c>
      <c r="Z306" s="7">
        <f t="shared" si="69"/>
        <v>-0.16347140573662761</v>
      </c>
      <c r="AA306" s="7">
        <f t="shared" si="70"/>
        <v>-4.5765175278941923E-2</v>
      </c>
      <c r="AB306" s="7">
        <f t="shared" si="71"/>
        <v>0.54957344231094285</v>
      </c>
      <c r="AC306" s="7">
        <f t="shared" si="79"/>
        <v>-3.0817209835948649E-2</v>
      </c>
      <c r="AD306" s="7">
        <f t="shared" si="80"/>
        <v>-0.21437140573662761</v>
      </c>
      <c r="AE306" s="7">
        <f t="shared" si="81"/>
        <v>-9.6665175278941917E-2</v>
      </c>
      <c r="AF306" s="7">
        <f t="shared" si="82"/>
        <v>0.49867344231094285</v>
      </c>
    </row>
    <row r="307" spans="1:32" x14ac:dyDescent="0.3">
      <c r="A307" s="1">
        <v>43983</v>
      </c>
      <c r="B307">
        <f>AEP!F307</f>
        <v>71.060492999999994</v>
      </c>
      <c r="C307">
        <f>DFSVX!F307</f>
        <v>21.090004</v>
      </c>
      <c r="D307">
        <f>DFLVX!F307</f>
        <v>27.253321</v>
      </c>
      <c r="E307">
        <f>FSAGX!F307</f>
        <v>28.609425999999999</v>
      </c>
      <c r="F307" s="5">
        <f>'FRED Graph'!B317</f>
        <v>0.18</v>
      </c>
      <c r="G307" s="9">
        <f t="shared" si="67"/>
        <v>1.8E-3</v>
      </c>
      <c r="H307" s="10">
        <f t="shared" si="72"/>
        <v>-6.6683074682921742E-2</v>
      </c>
      <c r="I307" s="10">
        <f t="shared" si="73"/>
        <v>-0.20251570890611303</v>
      </c>
      <c r="J307" s="10">
        <f t="shared" si="74"/>
        <v>-0.12494716609259493</v>
      </c>
      <c r="K307" s="10">
        <f t="shared" si="74"/>
        <v>0.42171629993915966</v>
      </c>
      <c r="L307" s="10">
        <f t="shared" si="75"/>
        <v>-0.13718307468292174</v>
      </c>
      <c r="M307" s="10">
        <f t="shared" si="76"/>
        <v>-0.27301570890611304</v>
      </c>
      <c r="N307" s="10">
        <f t="shared" si="77"/>
        <v>-0.19544716609259494</v>
      </c>
      <c r="O307" s="10">
        <f t="shared" si="78"/>
        <v>0.35121629993915965</v>
      </c>
      <c r="Y307" s="7">
        <f t="shared" si="68"/>
        <v>-6.6683074682921742E-2</v>
      </c>
      <c r="Z307" s="7">
        <f t="shared" si="69"/>
        <v>-0.20251570890611303</v>
      </c>
      <c r="AA307" s="7">
        <f t="shared" si="70"/>
        <v>-0.12494716609259493</v>
      </c>
      <c r="AB307" s="7">
        <f t="shared" si="71"/>
        <v>0.42171629993915966</v>
      </c>
      <c r="AC307" s="7">
        <f t="shared" si="79"/>
        <v>-0.11758307468292174</v>
      </c>
      <c r="AD307" s="7">
        <f t="shared" si="80"/>
        <v>-0.25341570890611304</v>
      </c>
      <c r="AE307" s="7">
        <f t="shared" si="81"/>
        <v>-0.17584716609259493</v>
      </c>
      <c r="AF307" s="7">
        <f t="shared" si="82"/>
        <v>0.37081629993915965</v>
      </c>
    </row>
    <row r="308" spans="1:32" x14ac:dyDescent="0.3">
      <c r="A308" s="1">
        <v>44013</v>
      </c>
      <c r="B308">
        <f>AEP!F308</f>
        <v>77.520545999999996</v>
      </c>
      <c r="C308">
        <f>DFSVX!F308</f>
        <v>21.821211000000002</v>
      </c>
      <c r="D308">
        <f>DFLVX!F308</f>
        <v>28.298891000000001</v>
      </c>
      <c r="E308">
        <f>FSAGX!F308</f>
        <v>33.061450999999998</v>
      </c>
      <c r="F308" s="5">
        <f>'FRED Graph'!B318</f>
        <v>0.15</v>
      </c>
      <c r="G308" s="9">
        <f t="shared" si="67"/>
        <v>1.5E-3</v>
      </c>
      <c r="H308" s="10">
        <f t="shared" si="72"/>
        <v>2.048313217240753E-2</v>
      </c>
      <c r="I308" s="10">
        <f t="shared" si="73"/>
        <v>-0.18079478843209776</v>
      </c>
      <c r="J308" s="10">
        <f t="shared" si="74"/>
        <v>-0.10586151912561327</v>
      </c>
      <c r="K308" s="10">
        <f t="shared" si="74"/>
        <v>0.59727687357161474</v>
      </c>
      <c r="L308" s="10">
        <f t="shared" si="75"/>
        <v>-5.0016867827592459E-2</v>
      </c>
      <c r="M308" s="10">
        <f t="shared" si="76"/>
        <v>-0.25129478843209774</v>
      </c>
      <c r="N308" s="10">
        <f t="shared" si="77"/>
        <v>-0.17636151912561326</v>
      </c>
      <c r="O308" s="10">
        <f t="shared" si="78"/>
        <v>0.52677687357161473</v>
      </c>
      <c r="Y308" s="7">
        <f t="shared" si="68"/>
        <v>2.048313217240753E-2</v>
      </c>
      <c r="Z308" s="7">
        <f t="shared" si="69"/>
        <v>-0.18079478843209776</v>
      </c>
      <c r="AA308" s="7">
        <f t="shared" si="70"/>
        <v>-0.10586151912561327</v>
      </c>
      <c r="AB308" s="7">
        <f t="shared" si="71"/>
        <v>0.59727687357161474</v>
      </c>
      <c r="AC308" s="7">
        <f t="shared" si="79"/>
        <v>-3.041686782759247E-2</v>
      </c>
      <c r="AD308" s="7">
        <f t="shared" si="80"/>
        <v>-0.23169478843209776</v>
      </c>
      <c r="AE308" s="7">
        <f t="shared" si="81"/>
        <v>-0.15676151912561326</v>
      </c>
      <c r="AF308" s="7">
        <f t="shared" si="82"/>
        <v>0.5463768735716148</v>
      </c>
    </row>
    <row r="309" spans="1:32" x14ac:dyDescent="0.3">
      <c r="A309" s="1">
        <v>44044</v>
      </c>
      <c r="B309">
        <f>AEP!F309</f>
        <v>70.337753000000006</v>
      </c>
      <c r="C309">
        <f>DFSVX!F309</f>
        <v>23.038103</v>
      </c>
      <c r="D309">
        <f>DFLVX!F309</f>
        <v>29.552804999999999</v>
      </c>
      <c r="E309">
        <f>FSAGX!F309</f>
        <v>32.704540000000001</v>
      </c>
      <c r="F309" s="5">
        <f>'FRED Graph'!B319</f>
        <v>0.13</v>
      </c>
      <c r="G309" s="9">
        <f t="shared" si="67"/>
        <v>1.2999999999999999E-3</v>
      </c>
      <c r="H309" s="10">
        <f t="shared" si="72"/>
        <v>-0.10800014497679977</v>
      </c>
      <c r="I309" s="10">
        <f t="shared" si="73"/>
        <v>-5.993988750911828E-2</v>
      </c>
      <c r="J309" s="10">
        <f t="shared" si="74"/>
        <v>-2.6175050481687841E-2</v>
      </c>
      <c r="K309" s="10">
        <f t="shared" si="74"/>
        <v>0.42940141526060988</v>
      </c>
      <c r="L309" s="10">
        <f t="shared" si="75"/>
        <v>-0.17850014497679978</v>
      </c>
      <c r="M309" s="10">
        <f t="shared" si="76"/>
        <v>-0.13043988750911828</v>
      </c>
      <c r="N309" s="10">
        <f t="shared" si="77"/>
        <v>-9.6675050481687841E-2</v>
      </c>
      <c r="O309" s="10">
        <f t="shared" si="78"/>
        <v>0.35890141526060987</v>
      </c>
      <c r="Y309" s="7">
        <f t="shared" si="68"/>
        <v>-0.10800014497679977</v>
      </c>
      <c r="Z309" s="7">
        <f t="shared" si="69"/>
        <v>-5.993988750911828E-2</v>
      </c>
      <c r="AA309" s="7">
        <f t="shared" si="70"/>
        <v>-2.6175050481687841E-2</v>
      </c>
      <c r="AB309" s="7">
        <f t="shared" si="71"/>
        <v>0.42940141526060988</v>
      </c>
      <c r="AC309" s="7">
        <f t="shared" si="79"/>
        <v>-0.15890014497679977</v>
      </c>
      <c r="AD309" s="7">
        <f t="shared" si="80"/>
        <v>-0.11083988750911827</v>
      </c>
      <c r="AE309" s="7">
        <f t="shared" si="81"/>
        <v>-7.7075050481687835E-2</v>
      </c>
      <c r="AF309" s="7">
        <f t="shared" si="82"/>
        <v>0.37850141526060987</v>
      </c>
    </row>
    <row r="310" spans="1:32" x14ac:dyDescent="0.3">
      <c r="A310" s="1">
        <v>44075</v>
      </c>
      <c r="B310">
        <f>AEP!F310</f>
        <v>73.528244000000001</v>
      </c>
      <c r="C310">
        <f>DFSVX!F310</f>
        <v>21.771543999999999</v>
      </c>
      <c r="D310">
        <f>DFLVX!F310</f>
        <v>28.686793999999999</v>
      </c>
      <c r="E310">
        <f>FSAGX!F310</f>
        <v>30.487916999999999</v>
      </c>
      <c r="F310" s="5">
        <f>'FRED Graph'!B320</f>
        <v>0.13</v>
      </c>
      <c r="G310" s="9">
        <f t="shared" si="67"/>
        <v>1.2999999999999999E-3</v>
      </c>
      <c r="H310" s="10">
        <f t="shared" si="72"/>
        <v>-9.9592052679617057E-2</v>
      </c>
      <c r="I310" s="10">
        <f t="shared" si="73"/>
        <v>-0.15879924770998666</v>
      </c>
      <c r="J310" s="10">
        <f t="shared" si="74"/>
        <v>-8.5129375537235694E-2</v>
      </c>
      <c r="K310" s="10">
        <f t="shared" si="74"/>
        <v>0.47824632999912425</v>
      </c>
      <c r="L310" s="10">
        <f t="shared" si="75"/>
        <v>-0.17009205267961705</v>
      </c>
      <c r="M310" s="10">
        <f t="shared" si="76"/>
        <v>-0.22929924770998666</v>
      </c>
      <c r="N310" s="10">
        <f t="shared" si="77"/>
        <v>-0.15562937553723569</v>
      </c>
      <c r="O310" s="10">
        <f t="shared" si="78"/>
        <v>0.40774632999912425</v>
      </c>
      <c r="Y310" s="7">
        <f t="shared" si="68"/>
        <v>-9.9592052679617057E-2</v>
      </c>
      <c r="Z310" s="7">
        <f t="shared" si="69"/>
        <v>-0.15879924770998666</v>
      </c>
      <c r="AA310" s="7">
        <f t="shared" si="70"/>
        <v>-8.5129375537235694E-2</v>
      </c>
      <c r="AB310" s="7">
        <f t="shared" si="71"/>
        <v>0.47824632999912425</v>
      </c>
      <c r="AC310" s="7">
        <f t="shared" si="79"/>
        <v>-0.15049205267961707</v>
      </c>
      <c r="AD310" s="7">
        <f t="shared" si="80"/>
        <v>-0.20969924770998666</v>
      </c>
      <c r="AE310" s="7">
        <f t="shared" si="81"/>
        <v>-0.13602937553723571</v>
      </c>
      <c r="AF310" s="7">
        <f t="shared" si="82"/>
        <v>0.42734632999912425</v>
      </c>
    </row>
    <row r="311" spans="1:32" x14ac:dyDescent="0.3">
      <c r="A311" s="1">
        <v>44105</v>
      </c>
      <c r="B311">
        <f>AEP!F311</f>
        <v>80.905356999999995</v>
      </c>
      <c r="C311">
        <f>DFSVX!F311</f>
        <v>22.718864</v>
      </c>
      <c r="D311">
        <f>DFLVX!F311</f>
        <v>28.494143999999999</v>
      </c>
      <c r="E311">
        <f>FSAGX!F311</f>
        <v>29.417176999999999</v>
      </c>
      <c r="F311" s="5">
        <f>'FRED Graph'!B321</f>
        <v>0.13</v>
      </c>
      <c r="G311" s="9">
        <f t="shared" si="67"/>
        <v>1.2999999999999999E-3</v>
      </c>
      <c r="H311" s="10">
        <f t="shared" si="72"/>
        <v>-1.6601380128631351E-2</v>
      </c>
      <c r="I311" s="10">
        <f t="shared" si="73"/>
        <v>-0.14081518025555065</v>
      </c>
      <c r="J311" s="10">
        <f t="shared" si="74"/>
        <v>-0.11538655214290894</v>
      </c>
      <c r="K311" s="10">
        <f t="shared" si="74"/>
        <v>0.38579155063709897</v>
      </c>
      <c r="L311" s="10">
        <f t="shared" si="75"/>
        <v>-8.7101380128631348E-2</v>
      </c>
      <c r="M311" s="10">
        <f t="shared" si="76"/>
        <v>-0.21131518025555063</v>
      </c>
      <c r="N311" s="10">
        <f t="shared" si="77"/>
        <v>-0.18588655214290895</v>
      </c>
      <c r="O311" s="10">
        <f t="shared" si="78"/>
        <v>0.31529155063709896</v>
      </c>
      <c r="Y311" s="7">
        <f t="shared" si="68"/>
        <v>-1.6601380128631351E-2</v>
      </c>
      <c r="Z311" s="7">
        <f t="shared" si="69"/>
        <v>-0.14081518025555065</v>
      </c>
      <c r="AA311" s="7">
        <f t="shared" si="70"/>
        <v>-0.11538655214290894</v>
      </c>
      <c r="AB311" s="7">
        <f t="shared" si="71"/>
        <v>0.38579155063709897</v>
      </c>
      <c r="AC311" s="7">
        <f t="shared" si="79"/>
        <v>-6.7501380128631355E-2</v>
      </c>
      <c r="AD311" s="7">
        <f t="shared" si="80"/>
        <v>-0.19171518025555065</v>
      </c>
      <c r="AE311" s="7">
        <f t="shared" si="81"/>
        <v>-0.16628655214290894</v>
      </c>
      <c r="AF311" s="7">
        <f t="shared" si="82"/>
        <v>0.33489155063709897</v>
      </c>
    </row>
    <row r="312" spans="1:32" x14ac:dyDescent="0.3">
      <c r="A312" s="1">
        <v>44136</v>
      </c>
      <c r="B312">
        <f>AEP!F312</f>
        <v>76.371132000000003</v>
      </c>
      <c r="C312">
        <f>DFSVX!F312</f>
        <v>26.782335</v>
      </c>
      <c r="D312">
        <f>DFLVX!F312</f>
        <v>32.995131999999998</v>
      </c>
      <c r="E312">
        <f>FSAGX!F312</f>
        <v>27.303875000000001</v>
      </c>
      <c r="F312" s="5">
        <f>'FRED Graph'!B322</f>
        <v>0.12</v>
      </c>
      <c r="G312" s="9">
        <f t="shared" si="67"/>
        <v>1.1999999999999999E-3</v>
      </c>
      <c r="H312" s="10">
        <f t="shared" si="72"/>
        <v>-4.082235710600049E-2</v>
      </c>
      <c r="I312" s="10">
        <f t="shared" si="73"/>
        <v>-1.8279450505822373E-2</v>
      </c>
      <c r="J312" s="10">
        <f t="shared" si="74"/>
        <v>-1.4150609516613167E-2</v>
      </c>
      <c r="K312" s="10">
        <f t="shared" si="74"/>
        <v>0.33407061626145923</v>
      </c>
      <c r="L312" s="10">
        <f t="shared" si="75"/>
        <v>-0.11132235710600048</v>
      </c>
      <c r="M312" s="10">
        <f t="shared" si="76"/>
        <v>-8.8779450505822366E-2</v>
      </c>
      <c r="N312" s="10">
        <f t="shared" si="77"/>
        <v>-8.4650609516613157E-2</v>
      </c>
      <c r="O312" s="10">
        <f t="shared" si="78"/>
        <v>0.26357061626145922</v>
      </c>
      <c r="Y312" s="7">
        <f t="shared" si="68"/>
        <v>-4.082235710600049E-2</v>
      </c>
      <c r="Z312" s="7">
        <f t="shared" si="69"/>
        <v>-1.8279450505822373E-2</v>
      </c>
      <c r="AA312" s="7">
        <f t="shared" si="70"/>
        <v>-1.4150609516613167E-2</v>
      </c>
      <c r="AB312" s="7">
        <f t="shared" si="71"/>
        <v>0.33407061626145923</v>
      </c>
      <c r="AC312" s="7">
        <f t="shared" si="79"/>
        <v>-9.1722357106000491E-2</v>
      </c>
      <c r="AD312" s="7">
        <f t="shared" si="80"/>
        <v>-6.9179450505822374E-2</v>
      </c>
      <c r="AE312" s="7">
        <f t="shared" si="81"/>
        <v>-6.5050609516613164E-2</v>
      </c>
      <c r="AF312" s="7">
        <f t="shared" si="82"/>
        <v>0.28317061626145923</v>
      </c>
    </row>
    <row r="313" spans="1:32" x14ac:dyDescent="0.3">
      <c r="A313" s="1">
        <v>44166</v>
      </c>
      <c r="B313">
        <f>AEP!F313</f>
        <v>75.528412000000003</v>
      </c>
      <c r="C313">
        <f>DFSVX!F313</f>
        <v>28.610481</v>
      </c>
      <c r="D313">
        <f>DFLVX!F313</f>
        <v>34.056846999999998</v>
      </c>
      <c r="E313">
        <f>FSAGX!F313</f>
        <v>27.726535999999999</v>
      </c>
      <c r="F313" s="5">
        <f>'FRED Graph'!B323</f>
        <v>0.1</v>
      </c>
      <c r="G313" s="9">
        <f t="shared" si="67"/>
        <v>1E-3</v>
      </c>
      <c r="H313" s="10">
        <f t="shared" si="72"/>
        <v>-9.0101100169566559E-2</v>
      </c>
      <c r="I313" s="10">
        <f t="shared" si="73"/>
        <v>3.0156950648426297E-2</v>
      </c>
      <c r="J313" s="10">
        <f t="shared" si="74"/>
        <v>1.4941404058549997E-2</v>
      </c>
      <c r="K313" s="10">
        <f t="shared" si="74"/>
        <v>0.22525095925538213</v>
      </c>
      <c r="L313" s="10">
        <f t="shared" si="75"/>
        <v>-0.16060110016956655</v>
      </c>
      <c r="M313" s="10">
        <f t="shared" si="76"/>
        <v>-4.0343049351573693E-2</v>
      </c>
      <c r="N313" s="10">
        <f t="shared" si="77"/>
        <v>-5.5558595941449997E-2</v>
      </c>
      <c r="O313" s="10">
        <f t="shared" si="78"/>
        <v>0.15475095925538213</v>
      </c>
      <c r="Y313" s="7">
        <f t="shared" si="68"/>
        <v>-9.0101100169566559E-2</v>
      </c>
      <c r="Z313" s="7">
        <f t="shared" si="69"/>
        <v>3.0156950648426297E-2</v>
      </c>
      <c r="AA313" s="7">
        <f t="shared" si="70"/>
        <v>1.4941404058549997E-2</v>
      </c>
      <c r="AB313" s="7">
        <f t="shared" si="71"/>
        <v>0.22525095925538213</v>
      </c>
      <c r="AC313" s="7">
        <f t="shared" si="79"/>
        <v>-0.14100110016956657</v>
      </c>
      <c r="AD313" s="7">
        <f t="shared" si="80"/>
        <v>-2.0743049351573704E-2</v>
      </c>
      <c r="AE313" s="7">
        <f t="shared" si="81"/>
        <v>-3.5958595941450004E-2</v>
      </c>
      <c r="AF313" s="7">
        <f t="shared" si="82"/>
        <v>0.17435095925538213</v>
      </c>
    </row>
    <row r="314" spans="1:32" x14ac:dyDescent="0.3">
      <c r="A314" s="1">
        <v>44197</v>
      </c>
      <c r="B314">
        <f>AEP!F314</f>
        <v>73.387839999999997</v>
      </c>
      <c r="C314">
        <f>DFSVX!F314</f>
        <v>30.615753000000002</v>
      </c>
      <c r="D314">
        <f>DFLVX!F314</f>
        <v>34.300545</v>
      </c>
      <c r="E314">
        <f>FSAGX!F314</f>
        <v>27.388788000000002</v>
      </c>
      <c r="F314" s="5">
        <f>'FRED Graph'!B324</f>
        <v>0.1</v>
      </c>
      <c r="G314" s="9">
        <f t="shared" si="67"/>
        <v>1E-3</v>
      </c>
      <c r="H314" s="10">
        <f t="shared" si="72"/>
        <v>-0.19825989637398078</v>
      </c>
      <c r="I314" s="10">
        <f t="shared" si="73"/>
        <v>0.15950802165528236</v>
      </c>
      <c r="J314" s="10">
        <f t="shared" si="74"/>
        <v>3.9815888213140548E-2</v>
      </c>
      <c r="K314" s="10">
        <f t="shared" si="74"/>
        <v>0.20170019802824701</v>
      </c>
      <c r="L314" s="10">
        <f t="shared" si="75"/>
        <v>-0.26875989637398079</v>
      </c>
      <c r="M314" s="10">
        <f t="shared" si="76"/>
        <v>8.9008021655282363E-2</v>
      </c>
      <c r="N314" s="10">
        <f t="shared" si="77"/>
        <v>-3.0684111786859446E-2</v>
      </c>
      <c r="O314" s="10">
        <f t="shared" si="78"/>
        <v>0.13120019802824701</v>
      </c>
      <c r="Y314" s="7">
        <f t="shared" si="68"/>
        <v>-0.19825989637398078</v>
      </c>
      <c r="Z314" s="7">
        <f t="shared" si="69"/>
        <v>0.15950802165528236</v>
      </c>
      <c r="AA314" s="7">
        <f t="shared" si="70"/>
        <v>3.9815888213140548E-2</v>
      </c>
      <c r="AB314" s="7">
        <f t="shared" si="71"/>
        <v>0.20170019802824701</v>
      </c>
      <c r="AC314" s="7">
        <f t="shared" si="79"/>
        <v>-0.24915989637398078</v>
      </c>
      <c r="AD314" s="7">
        <f t="shared" si="80"/>
        <v>0.10860802165528236</v>
      </c>
      <c r="AE314" s="7">
        <f t="shared" si="81"/>
        <v>-1.1084111786859453E-2</v>
      </c>
      <c r="AF314" s="7">
        <f t="shared" si="82"/>
        <v>0.15080019802824701</v>
      </c>
    </row>
    <row r="315" spans="1:32" x14ac:dyDescent="0.3">
      <c r="A315" s="1">
        <v>44228</v>
      </c>
      <c r="B315">
        <f>AEP!F315</f>
        <v>67.891234999999995</v>
      </c>
      <c r="C315">
        <f>DFSVX!F315</f>
        <v>34.337466999999997</v>
      </c>
      <c r="D315">
        <f>DFLVX!F315</f>
        <v>36.943252999999999</v>
      </c>
      <c r="E315">
        <f>FSAGX!F315</f>
        <v>24.342334999999999</v>
      </c>
      <c r="F315" s="5">
        <f>'FRED Graph'!B325</f>
        <v>7.0000000000000007E-2</v>
      </c>
      <c r="G315" s="9">
        <f t="shared" si="67"/>
        <v>7.000000000000001E-4</v>
      </c>
      <c r="H315" s="10">
        <f t="shared" si="72"/>
        <v>-0.13400085868713685</v>
      </c>
      <c r="I315" s="10">
        <f t="shared" si="73"/>
        <v>0.45773351990076139</v>
      </c>
      <c r="J315" s="10">
        <f t="shared" si="74"/>
        <v>0.25228152619948019</v>
      </c>
      <c r="K315" s="10">
        <f t="shared" si="74"/>
        <v>0.1694338450981232</v>
      </c>
      <c r="L315" s="10">
        <f t="shared" si="75"/>
        <v>-0.20450085868713685</v>
      </c>
      <c r="M315" s="10">
        <f t="shared" si="76"/>
        <v>0.38723351990076138</v>
      </c>
      <c r="N315" s="10">
        <f t="shared" si="77"/>
        <v>0.18178152619948018</v>
      </c>
      <c r="O315" s="10">
        <f t="shared" si="78"/>
        <v>9.893384509812321E-2</v>
      </c>
      <c r="Y315" s="7">
        <f t="shared" si="68"/>
        <v>-0.13400085868713685</v>
      </c>
      <c r="Z315" s="7">
        <f t="shared" si="69"/>
        <v>0.45773351990076139</v>
      </c>
      <c r="AA315" s="7">
        <f t="shared" si="70"/>
        <v>0.25228152619948019</v>
      </c>
      <c r="AB315" s="7">
        <f t="shared" si="71"/>
        <v>0.1694338450981232</v>
      </c>
      <c r="AC315" s="7">
        <f t="shared" si="79"/>
        <v>-0.18490085868713685</v>
      </c>
      <c r="AD315" s="7">
        <f t="shared" si="80"/>
        <v>0.40683351990076139</v>
      </c>
      <c r="AE315" s="7">
        <f t="shared" si="81"/>
        <v>0.20138152619948019</v>
      </c>
      <c r="AF315" s="7">
        <f t="shared" si="82"/>
        <v>0.1185338450981232</v>
      </c>
    </row>
    <row r="316" spans="1:32" x14ac:dyDescent="0.3">
      <c r="A316" s="1">
        <v>44256</v>
      </c>
      <c r="B316">
        <f>AEP!F316</f>
        <v>77.533989000000005</v>
      </c>
      <c r="C316">
        <f>DFSVX!F316</f>
        <v>36.602500999999997</v>
      </c>
      <c r="D316">
        <f>DFLVX!F316</f>
        <v>39.084755000000001</v>
      </c>
      <c r="E316">
        <f>FSAGX!F316</f>
        <v>25.269940999999999</v>
      </c>
      <c r="F316" s="5">
        <f>'FRED Graph'!B326</f>
        <v>0.08</v>
      </c>
      <c r="G316" s="9">
        <f t="shared" si="67"/>
        <v>8.0000000000000004E-4</v>
      </c>
      <c r="H316" s="10">
        <f t="shared" si="72"/>
        <v>9.6195300876697754E-2</v>
      </c>
      <c r="I316" s="10">
        <f t="shared" si="73"/>
        <v>1.1230578900346238</v>
      </c>
      <c r="J316" s="10">
        <f t="shared" si="74"/>
        <v>0.67158715554385984</v>
      </c>
      <c r="K316" s="10">
        <f t="shared" si="74"/>
        <v>0.37397680763056401</v>
      </c>
      <c r="L316" s="10">
        <f t="shared" si="75"/>
        <v>2.569530087669776E-2</v>
      </c>
      <c r="M316" s="10">
        <f t="shared" si="76"/>
        <v>1.0525578900346237</v>
      </c>
      <c r="N316" s="10">
        <f t="shared" si="77"/>
        <v>0.60108715554385983</v>
      </c>
      <c r="O316" s="10">
        <f t="shared" si="78"/>
        <v>0.303476807630564</v>
      </c>
      <c r="Y316" s="7">
        <f t="shared" si="68"/>
        <v>9.6195300876697754E-2</v>
      </c>
      <c r="Z316" s="7">
        <f t="shared" si="69"/>
        <v>1.1230578900346238</v>
      </c>
      <c r="AA316" s="7">
        <f t="shared" si="70"/>
        <v>0.67158715554385984</v>
      </c>
      <c r="AB316" s="7">
        <f t="shared" si="71"/>
        <v>0.37397680763056401</v>
      </c>
      <c r="AC316" s="7">
        <f t="shared" si="79"/>
        <v>4.5295300876697753E-2</v>
      </c>
      <c r="AD316" s="7">
        <f t="shared" si="80"/>
        <v>1.0721578900346238</v>
      </c>
      <c r="AE316" s="7">
        <f t="shared" si="81"/>
        <v>0.62068715554385978</v>
      </c>
      <c r="AF316" s="7">
        <f t="shared" si="82"/>
        <v>0.32307680763056401</v>
      </c>
    </row>
    <row r="317" spans="1:32" x14ac:dyDescent="0.3">
      <c r="A317" s="1">
        <v>44287</v>
      </c>
      <c r="B317">
        <f>AEP!F317</f>
        <v>81.204712000000001</v>
      </c>
      <c r="C317">
        <f>DFSVX!F317</f>
        <v>37.510413999999997</v>
      </c>
      <c r="D317">
        <f>DFLVX!F317</f>
        <v>40.735168000000002</v>
      </c>
      <c r="E317">
        <f>FSAGX!F317</f>
        <v>27.154446</v>
      </c>
      <c r="F317" s="5">
        <f>'FRED Graph'!B327</f>
        <v>0.06</v>
      </c>
      <c r="G317" s="9">
        <f t="shared" si="67"/>
        <v>5.9999999999999995E-4</v>
      </c>
      <c r="H317" s="10">
        <f t="shared" si="72"/>
        <v>0.10485479995839343</v>
      </c>
      <c r="I317" s="10">
        <f t="shared" si="73"/>
        <v>0.87320046024991138</v>
      </c>
      <c r="J317" s="10">
        <f t="shared" si="74"/>
        <v>0.52887361718858972</v>
      </c>
      <c r="K317" s="10">
        <f t="shared" si="74"/>
        <v>7.0568860370292238E-2</v>
      </c>
      <c r="L317" s="10">
        <f t="shared" si="75"/>
        <v>3.4354799958393439E-2</v>
      </c>
      <c r="M317" s="10">
        <f t="shared" si="76"/>
        <v>0.80270046024991137</v>
      </c>
      <c r="N317" s="10">
        <f t="shared" si="77"/>
        <v>0.45837361718858971</v>
      </c>
      <c r="O317" s="10">
        <f t="shared" si="78"/>
        <v>6.8860370292245232E-5</v>
      </c>
      <c r="Y317" s="7">
        <f t="shared" si="68"/>
        <v>0.10485479995839343</v>
      </c>
      <c r="Z317" s="7">
        <f t="shared" si="69"/>
        <v>0.87320046024991138</v>
      </c>
      <c r="AA317" s="7">
        <f t="shared" si="70"/>
        <v>0.52887361718858972</v>
      </c>
      <c r="AB317" s="7">
        <f t="shared" si="71"/>
        <v>7.0568860370292238E-2</v>
      </c>
      <c r="AC317" s="7">
        <f t="shared" si="79"/>
        <v>5.3954799958393432E-2</v>
      </c>
      <c r="AD317" s="7">
        <f t="shared" si="80"/>
        <v>0.82230046024991132</v>
      </c>
      <c r="AE317" s="7">
        <f t="shared" si="81"/>
        <v>0.47797361718858972</v>
      </c>
      <c r="AF317" s="7">
        <f t="shared" si="82"/>
        <v>1.9668860370292238E-2</v>
      </c>
    </row>
    <row r="318" spans="1:32" x14ac:dyDescent="0.3">
      <c r="A318" s="1">
        <v>44317</v>
      </c>
      <c r="B318">
        <f>AEP!F318</f>
        <v>78.724007</v>
      </c>
      <c r="C318">
        <f>DFSVX!F318</f>
        <v>39.239975000000001</v>
      </c>
      <c r="D318">
        <f>DFLVX!F318</f>
        <v>42.098193999999999</v>
      </c>
      <c r="E318">
        <f>FSAGX!F318</f>
        <v>31.25544</v>
      </c>
      <c r="F318" s="5">
        <f>'FRED Graph'!B328</f>
        <v>0.05</v>
      </c>
      <c r="G318" s="9">
        <f t="shared" si="67"/>
        <v>5.0000000000000001E-4</v>
      </c>
      <c r="H318" s="10">
        <f t="shared" si="72"/>
        <v>4.4215015636562764E-2</v>
      </c>
      <c r="I318" s="10">
        <f t="shared" si="73"/>
        <v>0.90535715005391493</v>
      </c>
      <c r="J318" s="10">
        <f t="shared" si="74"/>
        <v>0.52168162213737634</v>
      </c>
      <c r="K318" s="10">
        <f t="shared" si="74"/>
        <v>0.16394432406286111</v>
      </c>
      <c r="L318" s="10">
        <f t="shared" si="75"/>
        <v>-2.6284984363437229E-2</v>
      </c>
      <c r="M318" s="10">
        <f t="shared" si="76"/>
        <v>0.83485715005391492</v>
      </c>
      <c r="N318" s="10">
        <f t="shared" si="77"/>
        <v>0.45118162213737634</v>
      </c>
      <c r="O318" s="10">
        <f t="shared" si="78"/>
        <v>9.3444324062861114E-2</v>
      </c>
      <c r="Y318" s="7">
        <f t="shared" si="68"/>
        <v>4.4215015636562764E-2</v>
      </c>
      <c r="Z318" s="7">
        <f t="shared" si="69"/>
        <v>0.90535715005391493</v>
      </c>
      <c r="AA318" s="7">
        <f t="shared" si="70"/>
        <v>0.52168162213737634</v>
      </c>
      <c r="AB318" s="7">
        <f t="shared" si="71"/>
        <v>0.16394432406286111</v>
      </c>
      <c r="AC318" s="7">
        <f t="shared" si="79"/>
        <v>-6.6849843634372366E-3</v>
      </c>
      <c r="AD318" s="7">
        <f t="shared" si="80"/>
        <v>0.85445715005391487</v>
      </c>
      <c r="AE318" s="7">
        <f t="shared" si="81"/>
        <v>0.47078162213737634</v>
      </c>
      <c r="AF318" s="7">
        <f t="shared" si="82"/>
        <v>0.11304432406286111</v>
      </c>
    </row>
    <row r="319" spans="1:32" x14ac:dyDescent="0.3">
      <c r="A319" s="1">
        <v>44348</v>
      </c>
      <c r="B319">
        <f>AEP!F319</f>
        <v>78.089057999999994</v>
      </c>
      <c r="C319">
        <f>DFSVX!F319</f>
        <v>38.050381000000002</v>
      </c>
      <c r="D319">
        <f>DFLVX!F319</f>
        <v>41.110225999999997</v>
      </c>
      <c r="E319">
        <f>FSAGX!F319</f>
        <v>27.466904</v>
      </c>
      <c r="F319" s="5">
        <f>'FRED Graph'!B329</f>
        <v>7.0000000000000007E-2</v>
      </c>
      <c r="G319" s="9">
        <f t="shared" si="67"/>
        <v>7.000000000000001E-4</v>
      </c>
      <c r="H319" s="10">
        <f t="shared" si="72"/>
        <v>9.8909600866405489E-2</v>
      </c>
      <c r="I319" s="10">
        <f t="shared" si="73"/>
        <v>0.80419031689135767</v>
      </c>
      <c r="J319" s="10">
        <f t="shared" si="74"/>
        <v>0.50844830984084466</v>
      </c>
      <c r="K319" s="10">
        <f t="shared" si="74"/>
        <v>-3.9935159831588359E-2</v>
      </c>
      <c r="L319" s="10">
        <f t="shared" si="75"/>
        <v>2.8409600866405496E-2</v>
      </c>
      <c r="M319" s="10">
        <f t="shared" si="76"/>
        <v>0.73369031689135766</v>
      </c>
      <c r="N319" s="10">
        <f t="shared" si="77"/>
        <v>0.43794830984084465</v>
      </c>
      <c r="O319" s="10">
        <f t="shared" si="78"/>
        <v>-0.11043515983158836</v>
      </c>
      <c r="Y319" s="7">
        <f t="shared" si="68"/>
        <v>9.8909600866405489E-2</v>
      </c>
      <c r="Z319" s="7">
        <f t="shared" si="69"/>
        <v>0.80419031689135767</v>
      </c>
      <c r="AA319" s="7">
        <f t="shared" si="70"/>
        <v>0.50844830984084466</v>
      </c>
      <c r="AB319" s="7">
        <f t="shared" si="71"/>
        <v>-3.9935159831588359E-2</v>
      </c>
      <c r="AC319" s="7">
        <f t="shared" si="79"/>
        <v>4.8009600866405489E-2</v>
      </c>
      <c r="AD319" s="7">
        <f t="shared" si="80"/>
        <v>0.75329031689135761</v>
      </c>
      <c r="AE319" s="7">
        <f t="shared" si="81"/>
        <v>0.45754830984084466</v>
      </c>
      <c r="AF319" s="7">
        <f t="shared" si="82"/>
        <v>-9.0835159831588352E-2</v>
      </c>
    </row>
    <row r="320" spans="1:32" x14ac:dyDescent="0.3">
      <c r="A320" s="1">
        <v>44378</v>
      </c>
      <c r="B320">
        <f>AEP!F320</f>
        <v>81.347770999999995</v>
      </c>
      <c r="C320">
        <f>DFSVX!F320</f>
        <v>37.349837999999998</v>
      </c>
      <c r="D320">
        <f>DFLVX!F320</f>
        <v>41.190918000000003</v>
      </c>
      <c r="E320">
        <f>FSAGX!F320</f>
        <v>28.238281000000001</v>
      </c>
      <c r="F320" s="5">
        <f>'FRED Graph'!B330</f>
        <v>0.08</v>
      </c>
      <c r="G320" s="9">
        <f t="shared" si="67"/>
        <v>8.0000000000000004E-4</v>
      </c>
      <c r="H320" s="10">
        <f t="shared" si="72"/>
        <v>4.9370459800425023E-2</v>
      </c>
      <c r="I320" s="10">
        <f t="shared" si="73"/>
        <v>0.71162993657868001</v>
      </c>
      <c r="J320" s="10">
        <f t="shared" si="74"/>
        <v>0.45556650965580248</v>
      </c>
      <c r="K320" s="10">
        <f t="shared" si="74"/>
        <v>-0.14588500668043874</v>
      </c>
      <c r="L320" s="10">
        <f t="shared" si="75"/>
        <v>-2.112954019957497E-2</v>
      </c>
      <c r="M320" s="10">
        <f t="shared" si="76"/>
        <v>0.64112993657868</v>
      </c>
      <c r="N320" s="10">
        <f t="shared" si="77"/>
        <v>0.38506650965580247</v>
      </c>
      <c r="O320" s="10">
        <f t="shared" si="78"/>
        <v>-0.21638500668043875</v>
      </c>
      <c r="Y320" s="7">
        <f t="shared" si="68"/>
        <v>4.9370459800425023E-2</v>
      </c>
      <c r="Z320" s="7">
        <f t="shared" si="69"/>
        <v>0.71162993657868001</v>
      </c>
      <c r="AA320" s="7">
        <f t="shared" si="70"/>
        <v>0.45556650965580248</v>
      </c>
      <c r="AB320" s="7">
        <f t="shared" si="71"/>
        <v>-0.14588500668043874</v>
      </c>
      <c r="AC320" s="7">
        <f t="shared" si="79"/>
        <v>-1.5295401995749774E-3</v>
      </c>
      <c r="AD320" s="7">
        <f t="shared" si="80"/>
        <v>0.66072993657868007</v>
      </c>
      <c r="AE320" s="7">
        <f t="shared" si="81"/>
        <v>0.40466650965580248</v>
      </c>
      <c r="AF320" s="7">
        <f t="shared" si="82"/>
        <v>-0.19678500668043875</v>
      </c>
    </row>
    <row r="321" spans="1:32" x14ac:dyDescent="0.3">
      <c r="A321" s="1">
        <v>44409</v>
      </c>
      <c r="B321">
        <f>AEP!F321</f>
        <v>82.686333000000005</v>
      </c>
      <c r="C321">
        <f>DFSVX!F321</f>
        <v>38.170245999999999</v>
      </c>
      <c r="D321">
        <f>DFLVX!F321</f>
        <v>42.081982000000004</v>
      </c>
      <c r="E321">
        <f>FSAGX!F321</f>
        <v>26.441654</v>
      </c>
      <c r="F321" s="5">
        <f>'FRED Graph'!B331</f>
        <v>7.0000000000000007E-2</v>
      </c>
      <c r="G321" s="9">
        <f t="shared" si="67"/>
        <v>7.000000000000001E-4</v>
      </c>
      <c r="H321" s="10">
        <f t="shared" si="72"/>
        <v>0.17556119542232174</v>
      </c>
      <c r="I321" s="10">
        <f t="shared" si="73"/>
        <v>0.65683112016644774</v>
      </c>
      <c r="J321" s="10">
        <f t="shared" si="74"/>
        <v>0.42395897783645259</v>
      </c>
      <c r="K321" s="10">
        <f t="shared" si="74"/>
        <v>-0.19149897842929456</v>
      </c>
      <c r="L321" s="10">
        <f t="shared" si="75"/>
        <v>0.10506119542232174</v>
      </c>
      <c r="M321" s="10">
        <f t="shared" si="76"/>
        <v>0.58633112016644773</v>
      </c>
      <c r="N321" s="10">
        <f t="shared" si="77"/>
        <v>0.35345897783645258</v>
      </c>
      <c r="O321" s="10">
        <f t="shared" si="78"/>
        <v>-0.26199897842929454</v>
      </c>
      <c r="Y321" s="7">
        <f t="shared" si="68"/>
        <v>0.17556119542232174</v>
      </c>
      <c r="Z321" s="7">
        <f t="shared" si="69"/>
        <v>0.65683112016644774</v>
      </c>
      <c r="AA321" s="7">
        <f t="shared" si="70"/>
        <v>0.42395897783645259</v>
      </c>
      <c r="AB321" s="7">
        <f t="shared" si="71"/>
        <v>-0.19149897842929456</v>
      </c>
      <c r="AC321" s="7">
        <f t="shared" si="79"/>
        <v>0.12466119542232174</v>
      </c>
      <c r="AD321" s="7">
        <f t="shared" si="80"/>
        <v>0.60593112016644768</v>
      </c>
      <c r="AE321" s="7">
        <f t="shared" si="81"/>
        <v>0.37305897783645259</v>
      </c>
      <c r="AF321" s="7">
        <f t="shared" si="82"/>
        <v>-0.24239897842929456</v>
      </c>
    </row>
    <row r="322" spans="1:32" x14ac:dyDescent="0.3">
      <c r="A322" s="1">
        <v>44440</v>
      </c>
      <c r="B322">
        <f>AEP!F322</f>
        <v>75.567038999999994</v>
      </c>
      <c r="C322">
        <f>DFSVX!F322</f>
        <v>37.738903000000001</v>
      </c>
      <c r="D322">
        <f>DFLVX!F322</f>
        <v>40.492764000000001</v>
      </c>
      <c r="E322">
        <f>FSAGX!F322</f>
        <v>23.815062999999999</v>
      </c>
      <c r="F322" s="5">
        <f>'FRED Graph'!B332</f>
        <v>0.08</v>
      </c>
      <c r="G322" s="9">
        <f t="shared" si="67"/>
        <v>8.0000000000000004E-4</v>
      </c>
      <c r="H322" s="10">
        <f t="shared" si="72"/>
        <v>2.7728052365836361E-2</v>
      </c>
      <c r="I322" s="10">
        <f t="shared" si="73"/>
        <v>0.73340498955884814</v>
      </c>
      <c r="J322" s="10">
        <f t="shared" si="74"/>
        <v>0.41154720879579648</v>
      </c>
      <c r="K322" s="10">
        <f t="shared" si="74"/>
        <v>-0.21886880628807803</v>
      </c>
      <c r="L322" s="10">
        <f t="shared" si="75"/>
        <v>-4.2771947634163629E-2</v>
      </c>
      <c r="M322" s="10">
        <f t="shared" si="76"/>
        <v>0.66290498955884813</v>
      </c>
      <c r="N322" s="10">
        <f t="shared" si="77"/>
        <v>0.34104720879579647</v>
      </c>
      <c r="O322" s="10">
        <f t="shared" si="78"/>
        <v>-0.28936880628807804</v>
      </c>
      <c r="Y322" s="7">
        <f t="shared" si="68"/>
        <v>2.7728052365836361E-2</v>
      </c>
      <c r="Z322" s="7">
        <f t="shared" si="69"/>
        <v>0.73340498955884814</v>
      </c>
      <c r="AA322" s="7">
        <f t="shared" si="70"/>
        <v>0.41154720879579648</v>
      </c>
      <c r="AB322" s="7">
        <f t="shared" si="71"/>
        <v>-0.21886880628807803</v>
      </c>
      <c r="AC322" s="7">
        <f t="shared" si="79"/>
        <v>-2.317194763416364E-2</v>
      </c>
      <c r="AD322" s="7">
        <f t="shared" si="80"/>
        <v>0.6825049895588482</v>
      </c>
      <c r="AE322" s="7">
        <f t="shared" si="81"/>
        <v>0.36064720879579648</v>
      </c>
      <c r="AF322" s="7">
        <f t="shared" si="82"/>
        <v>-0.26976880628807803</v>
      </c>
    </row>
    <row r="323" spans="1:32" x14ac:dyDescent="0.3">
      <c r="A323" s="1">
        <v>44470</v>
      </c>
      <c r="B323">
        <f>AEP!F323</f>
        <v>78.852974000000003</v>
      </c>
      <c r="C323">
        <f>DFSVX!F323</f>
        <v>39.303978000000001</v>
      </c>
      <c r="D323">
        <f>DFLVX!F323</f>
        <v>42.364182</v>
      </c>
      <c r="E323">
        <f>FSAGX!F323</f>
        <v>25.455462000000001</v>
      </c>
      <c r="F323" s="5">
        <f>'FRED Graph'!B333</f>
        <v>0.11</v>
      </c>
      <c r="G323" s="9">
        <f t="shared" ref="G323:G346" si="83">F323/100</f>
        <v>1.1000000000000001E-3</v>
      </c>
      <c r="H323" s="10">
        <f t="shared" si="72"/>
        <v>-2.5367702165877495E-2</v>
      </c>
      <c r="I323" s="10">
        <f t="shared" si="73"/>
        <v>0.73001510991042518</v>
      </c>
      <c r="J323" s="10">
        <f t="shared" si="74"/>
        <v>0.48676801801801806</v>
      </c>
      <c r="K323" s="10">
        <f t="shared" si="74"/>
        <v>-0.13467352764678944</v>
      </c>
      <c r="L323" s="10">
        <f t="shared" si="75"/>
        <v>-9.5867702165877491E-2</v>
      </c>
      <c r="M323" s="10">
        <f t="shared" si="76"/>
        <v>0.65951510991042517</v>
      </c>
      <c r="N323" s="10">
        <f t="shared" si="77"/>
        <v>0.41626801801801805</v>
      </c>
      <c r="O323" s="10">
        <f t="shared" si="78"/>
        <v>-0.20517352764678942</v>
      </c>
      <c r="Y323" s="7">
        <f t="shared" si="68"/>
        <v>-2.5367702165877495E-2</v>
      </c>
      <c r="Z323" s="7">
        <f t="shared" si="69"/>
        <v>0.73001510991042518</v>
      </c>
      <c r="AA323" s="7">
        <f t="shared" si="70"/>
        <v>0.48676801801801806</v>
      </c>
      <c r="AB323" s="7">
        <f t="shared" si="71"/>
        <v>-0.13467352764678944</v>
      </c>
      <c r="AC323" s="7">
        <f t="shared" si="79"/>
        <v>-7.6267702165877499E-2</v>
      </c>
      <c r="AD323" s="7">
        <f t="shared" si="80"/>
        <v>0.67911510991042512</v>
      </c>
      <c r="AE323" s="7">
        <f t="shared" si="81"/>
        <v>0.43586801801801806</v>
      </c>
      <c r="AF323" s="7">
        <f t="shared" si="82"/>
        <v>-0.18557352764678944</v>
      </c>
    </row>
    <row r="324" spans="1:32" x14ac:dyDescent="0.3">
      <c r="A324" s="1">
        <v>44501</v>
      </c>
      <c r="B324">
        <f>AEP!F324</f>
        <v>75.446044999999998</v>
      </c>
      <c r="C324">
        <f>DFSVX!F324</f>
        <v>38.396239999999999</v>
      </c>
      <c r="D324">
        <f>DFLVX!F324</f>
        <v>41.266089999999998</v>
      </c>
      <c r="E324">
        <f>FSAGX!F324</f>
        <v>25.240648</v>
      </c>
      <c r="F324" s="5">
        <f>'FRED Graph'!B334</f>
        <v>0.18</v>
      </c>
      <c r="G324" s="9">
        <f t="shared" si="83"/>
        <v>1.8E-3</v>
      </c>
      <c r="H324" s="10">
        <f t="shared" si="72"/>
        <v>-1.2113045541867899E-2</v>
      </c>
      <c r="I324" s="10">
        <f t="shared" si="73"/>
        <v>0.43364049475148447</v>
      </c>
      <c r="J324" s="10">
        <f t="shared" si="74"/>
        <v>0.25067206883730608</v>
      </c>
      <c r="K324" s="10">
        <f t="shared" si="74"/>
        <v>-7.5565354734447074E-2</v>
      </c>
      <c r="L324" s="10">
        <f t="shared" si="75"/>
        <v>-8.2613045541867894E-2</v>
      </c>
      <c r="M324" s="10">
        <f t="shared" si="76"/>
        <v>0.36314049475148447</v>
      </c>
      <c r="N324" s="10">
        <f t="shared" si="77"/>
        <v>0.18017206883730608</v>
      </c>
      <c r="O324" s="10">
        <f t="shared" si="78"/>
        <v>-0.14606535473444707</v>
      </c>
      <c r="Y324" s="7">
        <f t="shared" si="68"/>
        <v>-1.2113045541867899E-2</v>
      </c>
      <c r="Z324" s="7">
        <f t="shared" si="69"/>
        <v>0.43364049475148447</v>
      </c>
      <c r="AA324" s="7">
        <f t="shared" si="70"/>
        <v>0.25067206883730608</v>
      </c>
      <c r="AB324" s="7">
        <f t="shared" si="71"/>
        <v>-7.5565354734447074E-2</v>
      </c>
      <c r="AC324" s="7">
        <f t="shared" si="79"/>
        <v>-6.3013045541867901E-2</v>
      </c>
      <c r="AD324" s="7">
        <f t="shared" si="80"/>
        <v>0.38274049475148447</v>
      </c>
      <c r="AE324" s="7">
        <f t="shared" si="81"/>
        <v>0.19977206883730608</v>
      </c>
      <c r="AF324" s="7">
        <f t="shared" si="82"/>
        <v>-0.12646535473444709</v>
      </c>
    </row>
    <row r="325" spans="1:32" x14ac:dyDescent="0.3">
      <c r="A325" s="1">
        <v>44531</v>
      </c>
      <c r="B325">
        <f>AEP!F325</f>
        <v>83.595596</v>
      </c>
      <c r="C325">
        <f>DFSVX!F325</f>
        <v>36.877701000000002</v>
      </c>
      <c r="D325">
        <f>DFLVX!F325</f>
        <v>42.502594000000002</v>
      </c>
      <c r="E325">
        <f>FSAGX!F325</f>
        <v>25.387114</v>
      </c>
      <c r="F325" s="5">
        <f>'FRED Graph'!B335</f>
        <v>0.3</v>
      </c>
      <c r="G325" s="9">
        <f t="shared" si="83"/>
        <v>3.0000000000000001E-3</v>
      </c>
      <c r="H325" s="10">
        <f t="shared" si="72"/>
        <v>0.10680992472077921</v>
      </c>
      <c r="I325" s="10">
        <f t="shared" si="73"/>
        <v>0.28895774244410649</v>
      </c>
      <c r="J325" s="10">
        <f t="shared" si="74"/>
        <v>0.24798969205810523</v>
      </c>
      <c r="K325" s="10">
        <f t="shared" si="74"/>
        <v>-8.4374838602268923E-2</v>
      </c>
      <c r="L325" s="10">
        <f t="shared" si="75"/>
        <v>3.6309924720779221E-2</v>
      </c>
      <c r="M325" s="10">
        <f t="shared" si="76"/>
        <v>0.21845774244410648</v>
      </c>
      <c r="N325" s="10">
        <f t="shared" si="77"/>
        <v>0.17748969205810522</v>
      </c>
      <c r="O325" s="10">
        <f t="shared" si="78"/>
        <v>-0.15487483860226892</v>
      </c>
      <c r="Y325" s="7">
        <f t="shared" si="68"/>
        <v>0.10680992472077921</v>
      </c>
      <c r="Z325" s="7">
        <f t="shared" si="69"/>
        <v>0.28895774244410649</v>
      </c>
      <c r="AA325" s="7">
        <f t="shared" si="70"/>
        <v>0.24798969205810523</v>
      </c>
      <c r="AB325" s="7">
        <f t="shared" si="71"/>
        <v>-8.4374838602268923E-2</v>
      </c>
      <c r="AC325" s="7">
        <f t="shared" si="79"/>
        <v>5.5909924720779214E-2</v>
      </c>
      <c r="AD325" s="7">
        <f t="shared" si="80"/>
        <v>0.23805774244410649</v>
      </c>
      <c r="AE325" s="7">
        <f t="shared" si="81"/>
        <v>0.19708969205810523</v>
      </c>
      <c r="AF325" s="7">
        <f t="shared" si="82"/>
        <v>-0.13527483860226891</v>
      </c>
    </row>
    <row r="326" spans="1:32" x14ac:dyDescent="0.3">
      <c r="A326" s="1">
        <v>44562</v>
      </c>
      <c r="B326">
        <f>AEP!F326</f>
        <v>84.939216999999999</v>
      </c>
      <c r="C326">
        <f>DFSVX!F326</f>
        <v>39.403049000000003</v>
      </c>
      <c r="D326">
        <f>DFLVX!F326</f>
        <v>43.070072000000003</v>
      </c>
      <c r="E326">
        <f>FSAGX!F326</f>
        <v>24.066828000000001</v>
      </c>
      <c r="F326" s="5">
        <f>'FRED Graph'!B336</f>
        <v>0.55000000000000004</v>
      </c>
      <c r="G326" s="9">
        <f t="shared" si="83"/>
        <v>5.5000000000000005E-3</v>
      </c>
      <c r="H326" s="10">
        <f t="shared" si="72"/>
        <v>0.15740178481884742</v>
      </c>
      <c r="I326" s="10">
        <f t="shared" si="73"/>
        <v>0.28701877755546307</v>
      </c>
      <c r="J326" s="10">
        <f t="shared" si="74"/>
        <v>0.25566727875606654</v>
      </c>
      <c r="K326" s="10">
        <f t="shared" si="74"/>
        <v>-0.1212890471823726</v>
      </c>
      <c r="L326" s="10">
        <f t="shared" si="75"/>
        <v>8.690178481884743E-2</v>
      </c>
      <c r="M326" s="10">
        <f t="shared" si="76"/>
        <v>0.21651877755546306</v>
      </c>
      <c r="N326" s="10">
        <f t="shared" si="77"/>
        <v>0.18516727875606653</v>
      </c>
      <c r="O326" s="10">
        <f t="shared" si="78"/>
        <v>-0.19178904718237261</v>
      </c>
      <c r="Y326" s="7">
        <f t="shared" si="68"/>
        <v>0.15740178481884742</v>
      </c>
      <c r="Z326" s="7">
        <f t="shared" si="69"/>
        <v>0.28701877755546307</v>
      </c>
      <c r="AA326" s="7">
        <f t="shared" si="70"/>
        <v>0.25566727875606654</v>
      </c>
      <c r="AB326" s="7">
        <f t="shared" si="71"/>
        <v>-0.1212890471823726</v>
      </c>
      <c r="AC326" s="7">
        <f t="shared" si="79"/>
        <v>0.10650178481884742</v>
      </c>
      <c r="AD326" s="7">
        <f t="shared" si="80"/>
        <v>0.23611877755546307</v>
      </c>
      <c r="AE326" s="7">
        <f t="shared" si="81"/>
        <v>0.20476727875606654</v>
      </c>
      <c r="AF326" s="7">
        <f t="shared" si="82"/>
        <v>-0.1721890471823726</v>
      </c>
    </row>
    <row r="327" spans="1:32" x14ac:dyDescent="0.3">
      <c r="A327" s="1">
        <v>44593</v>
      </c>
      <c r="B327">
        <f>AEP!F327</f>
        <v>85.174118000000007</v>
      </c>
      <c r="C327">
        <f>DFSVX!F327</f>
        <v>40.205863999999998</v>
      </c>
      <c r="D327">
        <f>DFLVX!F327</f>
        <v>42.851295</v>
      </c>
      <c r="E327">
        <f>FSAGX!F327</f>
        <v>26.946111999999999</v>
      </c>
      <c r="F327" s="5">
        <f>'FRED Graph'!B337</f>
        <v>1</v>
      </c>
      <c r="G327" s="9">
        <f t="shared" si="83"/>
        <v>0.01</v>
      </c>
      <c r="H327" s="10">
        <f t="shared" si="72"/>
        <v>0.25456722064343085</v>
      </c>
      <c r="I327" s="10">
        <f t="shared" si="73"/>
        <v>0.17090360800346754</v>
      </c>
      <c r="J327" s="10">
        <f t="shared" si="74"/>
        <v>0.15992208374286915</v>
      </c>
      <c r="K327" s="10">
        <f t="shared" si="74"/>
        <v>0.10696496453606448</v>
      </c>
      <c r="L327" s="10">
        <f t="shared" si="75"/>
        <v>0.18406722064343084</v>
      </c>
      <c r="M327" s="10">
        <f t="shared" si="76"/>
        <v>0.10040360800346755</v>
      </c>
      <c r="N327" s="10">
        <f t="shared" si="77"/>
        <v>8.9422083742869155E-2</v>
      </c>
      <c r="O327" s="10">
        <f t="shared" si="78"/>
        <v>3.6464964536064487E-2</v>
      </c>
      <c r="Y327" s="7">
        <f t="shared" si="68"/>
        <v>0.25456722064343085</v>
      </c>
      <c r="Z327" s="7">
        <f t="shared" si="69"/>
        <v>0.17090360800346754</v>
      </c>
      <c r="AA327" s="7">
        <f t="shared" si="70"/>
        <v>0.15992208374286915</v>
      </c>
      <c r="AB327" s="7">
        <f t="shared" si="71"/>
        <v>0.10696496453606448</v>
      </c>
      <c r="AC327" s="7">
        <f t="shared" si="79"/>
        <v>0.20366722064343085</v>
      </c>
      <c r="AD327" s="7">
        <f t="shared" si="80"/>
        <v>0.12000360800346754</v>
      </c>
      <c r="AE327" s="7">
        <f t="shared" si="81"/>
        <v>0.10902208374286915</v>
      </c>
      <c r="AF327" s="7">
        <f t="shared" si="82"/>
        <v>5.6064964536064479E-2</v>
      </c>
    </row>
    <row r="328" spans="1:32" x14ac:dyDescent="0.3">
      <c r="A328" s="1">
        <v>44621</v>
      </c>
      <c r="B328">
        <f>AEP!F328</f>
        <v>94.560897999999995</v>
      </c>
      <c r="C328">
        <f>DFSVX!F328</f>
        <v>40.485908999999999</v>
      </c>
      <c r="D328">
        <f>DFLVX!F328</f>
        <v>43.469569999999997</v>
      </c>
      <c r="E328">
        <f>FSAGX!F328</f>
        <v>29.964393999999999</v>
      </c>
      <c r="F328" s="5">
        <f>'FRED Graph'!B338</f>
        <v>1.34</v>
      </c>
      <c r="G328" s="9">
        <f t="shared" si="83"/>
        <v>1.34E-2</v>
      </c>
      <c r="H328" s="10">
        <f t="shared" si="72"/>
        <v>0.21960573961956203</v>
      </c>
      <c r="I328" s="10">
        <f t="shared" si="73"/>
        <v>0.10609679376827291</v>
      </c>
      <c r="J328" s="10">
        <f t="shared" si="74"/>
        <v>0.11218734772675423</v>
      </c>
      <c r="K328" s="10">
        <f t="shared" si="74"/>
        <v>0.18577221846303477</v>
      </c>
      <c r="L328" s="10">
        <f t="shared" si="75"/>
        <v>0.14910573961956203</v>
      </c>
      <c r="M328" s="10">
        <f t="shared" si="76"/>
        <v>3.5596793768272919E-2</v>
      </c>
      <c r="N328" s="10">
        <f t="shared" si="77"/>
        <v>4.168734772675424E-2</v>
      </c>
      <c r="O328" s="10">
        <f t="shared" si="78"/>
        <v>0.11527221846303477</v>
      </c>
      <c r="Y328" s="7">
        <f t="shared" si="68"/>
        <v>0.21960573961956203</v>
      </c>
      <c r="Z328" s="7">
        <f t="shared" si="69"/>
        <v>0.10609679376827291</v>
      </c>
      <c r="AA328" s="7">
        <f t="shared" si="70"/>
        <v>0.11218734772675423</v>
      </c>
      <c r="AB328" s="7">
        <f t="shared" si="71"/>
        <v>0.18577221846303477</v>
      </c>
      <c r="AC328" s="7">
        <f t="shared" si="79"/>
        <v>0.16870573961956203</v>
      </c>
      <c r="AD328" s="7">
        <f t="shared" si="80"/>
        <v>5.5196793768272912E-2</v>
      </c>
      <c r="AE328" s="7">
        <f t="shared" si="81"/>
        <v>6.1287347726754232E-2</v>
      </c>
      <c r="AF328" s="7">
        <f t="shared" si="82"/>
        <v>0.13487221846303477</v>
      </c>
    </row>
    <row r="329" spans="1:32" x14ac:dyDescent="0.3">
      <c r="A329" s="1">
        <v>44652</v>
      </c>
      <c r="B329">
        <f>AEP!F329</f>
        <v>93.935364000000007</v>
      </c>
      <c r="C329">
        <f>DFSVX!F329</f>
        <v>38.218670000000003</v>
      </c>
      <c r="D329">
        <f>DFLVX!F329</f>
        <v>41.144001000000003</v>
      </c>
      <c r="E329">
        <f>FSAGX!F329</f>
        <v>27.144682</v>
      </c>
      <c r="F329" s="5">
        <f>'FRED Graph'!B339</f>
        <v>1.89</v>
      </c>
      <c r="G329" s="9">
        <f t="shared" si="83"/>
        <v>1.89E-2</v>
      </c>
      <c r="H329" s="10">
        <f t="shared" si="72"/>
        <v>0.15677233114255743</v>
      </c>
      <c r="I329" s="10">
        <f t="shared" si="73"/>
        <v>1.8881583125155744E-2</v>
      </c>
      <c r="J329" s="10">
        <f t="shared" si="74"/>
        <v>1.0036364646882059E-2</v>
      </c>
      <c r="K329" s="10">
        <f t="shared" si="74"/>
        <v>-3.5957279334664202E-4</v>
      </c>
      <c r="L329" s="10">
        <f t="shared" si="75"/>
        <v>8.6272331142557432E-2</v>
      </c>
      <c r="M329" s="10">
        <f t="shared" si="76"/>
        <v>-5.1618416874844253E-2</v>
      </c>
      <c r="N329" s="10">
        <f t="shared" si="77"/>
        <v>-6.0463635353117932E-2</v>
      </c>
      <c r="O329" s="10">
        <f t="shared" si="78"/>
        <v>-7.0859572793346634E-2</v>
      </c>
      <c r="Y329" s="7">
        <f t="shared" si="68"/>
        <v>0.15677233114255743</v>
      </c>
      <c r="Z329" s="7">
        <f t="shared" si="69"/>
        <v>1.8881583125155744E-2</v>
      </c>
      <c r="AA329" s="7">
        <f t="shared" si="70"/>
        <v>1.0036364646882059E-2</v>
      </c>
      <c r="AB329" s="7">
        <f t="shared" si="71"/>
        <v>-3.5957279334664202E-4</v>
      </c>
      <c r="AC329" s="7">
        <f t="shared" si="79"/>
        <v>0.10587233114255742</v>
      </c>
      <c r="AD329" s="7">
        <f t="shared" si="80"/>
        <v>-3.201841687484426E-2</v>
      </c>
      <c r="AE329" s="7">
        <f t="shared" si="81"/>
        <v>-4.086363535311794E-2</v>
      </c>
      <c r="AF329" s="7">
        <f t="shared" si="82"/>
        <v>-5.1259572793346642E-2</v>
      </c>
    </row>
    <row r="330" spans="1:32" x14ac:dyDescent="0.3">
      <c r="A330" s="1">
        <v>44682</v>
      </c>
      <c r="B330">
        <f>AEP!F330</f>
        <v>96.702911</v>
      </c>
      <c r="C330">
        <f>DFSVX!F330</f>
        <v>39.714508000000002</v>
      </c>
      <c r="D330">
        <f>DFLVX!F330</f>
        <v>42.949482000000003</v>
      </c>
      <c r="E330">
        <f>FSAGX!F330</f>
        <v>24.768732</v>
      </c>
      <c r="F330" s="5">
        <f>'FRED Graph'!B340</f>
        <v>2.06</v>
      </c>
      <c r="G330" s="9">
        <f t="shared" si="83"/>
        <v>2.06E-2</v>
      </c>
      <c r="H330" s="10">
        <f t="shared" si="72"/>
        <v>0.22837892385228817</v>
      </c>
      <c r="I330" s="10">
        <f t="shared" si="73"/>
        <v>1.2093101486430636E-2</v>
      </c>
      <c r="J330" s="10">
        <f t="shared" si="74"/>
        <v>2.0221485035676442E-2</v>
      </c>
      <c r="K330" s="10">
        <f t="shared" si="74"/>
        <v>-0.20753852769309919</v>
      </c>
      <c r="L330" s="10">
        <f t="shared" si="75"/>
        <v>0.15787892385228819</v>
      </c>
      <c r="M330" s="10">
        <f t="shared" si="76"/>
        <v>-5.8406898513569359E-2</v>
      </c>
      <c r="N330" s="10">
        <f t="shared" si="77"/>
        <v>-5.0278514964323548E-2</v>
      </c>
      <c r="O330" s="10">
        <f t="shared" si="78"/>
        <v>-0.27803852769309917</v>
      </c>
      <c r="Y330" s="7">
        <f t="shared" si="68"/>
        <v>0.22837892385228817</v>
      </c>
      <c r="Z330" s="7">
        <f t="shared" si="69"/>
        <v>1.2093101486430636E-2</v>
      </c>
      <c r="AA330" s="7">
        <f t="shared" si="70"/>
        <v>2.0221485035676442E-2</v>
      </c>
      <c r="AB330" s="7">
        <f t="shared" si="71"/>
        <v>-0.20753852769309919</v>
      </c>
      <c r="AC330" s="7">
        <f t="shared" si="79"/>
        <v>0.17747892385228817</v>
      </c>
      <c r="AD330" s="7">
        <f t="shared" si="80"/>
        <v>-3.8806898513569367E-2</v>
      </c>
      <c r="AE330" s="7">
        <f t="shared" si="81"/>
        <v>-3.0678514964323559E-2</v>
      </c>
      <c r="AF330" s="7">
        <f t="shared" si="82"/>
        <v>-0.25843852769309916</v>
      </c>
    </row>
    <row r="331" spans="1:32" x14ac:dyDescent="0.3">
      <c r="A331" s="1">
        <v>44713</v>
      </c>
      <c r="B331">
        <f>AEP!F331</f>
        <v>91.648253999999994</v>
      </c>
      <c r="C331">
        <f>DFSVX!F331</f>
        <v>35.320476999999997</v>
      </c>
      <c r="D331">
        <f>DFLVX!F331</f>
        <v>38.144416999999997</v>
      </c>
      <c r="E331">
        <f>FSAGX!F331</f>
        <v>21.284386000000001</v>
      </c>
      <c r="F331" s="5">
        <f>'FRED Graph'!B341</f>
        <v>2.65</v>
      </c>
      <c r="G331" s="9">
        <f t="shared" si="83"/>
        <v>2.6499999999999999E-2</v>
      </c>
      <c r="H331" s="10">
        <f t="shared" si="72"/>
        <v>0.17363759209388852</v>
      </c>
      <c r="I331" s="10">
        <f t="shared" si="73"/>
        <v>-7.174445901080477E-2</v>
      </c>
      <c r="J331" s="10">
        <f t="shared" si="74"/>
        <v>-7.2142853216131689E-2</v>
      </c>
      <c r="K331" s="10">
        <f t="shared" si="74"/>
        <v>-0.22508972980718897</v>
      </c>
      <c r="L331" s="10">
        <f t="shared" si="75"/>
        <v>0.10313759209388852</v>
      </c>
      <c r="M331" s="10">
        <f t="shared" si="76"/>
        <v>-0.14224445901080476</v>
      </c>
      <c r="N331" s="10">
        <f t="shared" si="77"/>
        <v>-0.14264285321613168</v>
      </c>
      <c r="O331" s="10">
        <f t="shared" si="78"/>
        <v>-0.29558972980718895</v>
      </c>
      <c r="Y331" s="7">
        <f t="shared" si="68"/>
        <v>0.17363759209388852</v>
      </c>
      <c r="Z331" s="7">
        <f t="shared" si="69"/>
        <v>-7.174445901080477E-2</v>
      </c>
      <c r="AA331" s="7">
        <f t="shared" si="70"/>
        <v>-7.2142853216131689E-2</v>
      </c>
      <c r="AB331" s="7">
        <f t="shared" si="71"/>
        <v>-0.22508972980718897</v>
      </c>
      <c r="AC331" s="7">
        <f t="shared" si="79"/>
        <v>0.12273759209388851</v>
      </c>
      <c r="AD331" s="7">
        <f t="shared" si="80"/>
        <v>-0.12264445901080477</v>
      </c>
      <c r="AE331" s="7">
        <f t="shared" si="81"/>
        <v>-0.12304285321613169</v>
      </c>
      <c r="AF331" s="7">
        <f t="shared" si="82"/>
        <v>-0.27598972980718894</v>
      </c>
    </row>
    <row r="332" spans="1:32" x14ac:dyDescent="0.3">
      <c r="A332" s="1">
        <v>44743</v>
      </c>
      <c r="B332">
        <f>AEP!F332</f>
        <v>94.151038999999997</v>
      </c>
      <c r="C332">
        <f>DFSVX!F332</f>
        <v>38.942248999999997</v>
      </c>
      <c r="D332">
        <f>DFLVX!F332</f>
        <v>40.772015000000003</v>
      </c>
      <c r="E332">
        <f>FSAGX!F332</f>
        <v>20.318724</v>
      </c>
      <c r="F332" s="5">
        <f>'FRED Graph'!B342</f>
        <v>3.02</v>
      </c>
      <c r="G332" s="9">
        <f t="shared" si="83"/>
        <v>3.0200000000000001E-2</v>
      </c>
      <c r="H332" s="10">
        <f t="shared" si="72"/>
        <v>0.15738929097393467</v>
      </c>
      <c r="I332" s="10">
        <f t="shared" si="73"/>
        <v>4.2635017586957098E-2</v>
      </c>
      <c r="J332" s="10">
        <f t="shared" si="74"/>
        <v>-1.016979034067656E-2</v>
      </c>
      <c r="K332" s="10">
        <f t="shared" si="74"/>
        <v>-0.28045464240546375</v>
      </c>
      <c r="L332" s="10">
        <f t="shared" si="75"/>
        <v>8.6889290973934677E-2</v>
      </c>
      <c r="M332" s="10">
        <f t="shared" si="76"/>
        <v>-2.7864982413042895E-2</v>
      </c>
      <c r="N332" s="10">
        <f t="shared" si="77"/>
        <v>-8.0669790340676548E-2</v>
      </c>
      <c r="O332" s="10">
        <f t="shared" si="78"/>
        <v>-0.35095464240546376</v>
      </c>
      <c r="Y332" s="7">
        <f t="shared" si="68"/>
        <v>0.15738929097393467</v>
      </c>
      <c r="Z332" s="7">
        <f t="shared" si="69"/>
        <v>4.2635017586957098E-2</v>
      </c>
      <c r="AA332" s="7">
        <f t="shared" si="70"/>
        <v>-1.016979034067656E-2</v>
      </c>
      <c r="AB332" s="7">
        <f t="shared" si="71"/>
        <v>-0.28045464240546375</v>
      </c>
      <c r="AC332" s="7">
        <f t="shared" si="79"/>
        <v>0.10648929097393467</v>
      </c>
      <c r="AD332" s="7">
        <f t="shared" si="80"/>
        <v>-8.2649824130429025E-3</v>
      </c>
      <c r="AE332" s="7">
        <f t="shared" si="81"/>
        <v>-6.1069790340676562E-2</v>
      </c>
      <c r="AF332" s="7">
        <f t="shared" si="82"/>
        <v>-0.33135464240546375</v>
      </c>
    </row>
    <row r="333" spans="1:32" x14ac:dyDescent="0.3">
      <c r="A333" s="1">
        <v>44774</v>
      </c>
      <c r="B333">
        <f>AEP!F333</f>
        <v>95.717690000000005</v>
      </c>
      <c r="C333">
        <f>DFSVX!F333</f>
        <v>38.098331000000002</v>
      </c>
      <c r="D333">
        <f>DFLVX!F333</f>
        <v>39.619179000000003</v>
      </c>
      <c r="E333">
        <f>FSAGX!F333</f>
        <v>18.666146999999999</v>
      </c>
      <c r="F333" s="5">
        <f>'FRED Graph'!B343</f>
        <v>3.28</v>
      </c>
      <c r="G333" s="9">
        <f t="shared" si="83"/>
        <v>3.2799999999999996E-2</v>
      </c>
      <c r="H333" s="10">
        <f t="shared" si="72"/>
        <v>0.15759989017773951</v>
      </c>
      <c r="I333" s="10">
        <f t="shared" si="73"/>
        <v>-1.8840591176697437E-3</v>
      </c>
      <c r="J333" s="10">
        <f t="shared" si="74"/>
        <v>-5.8523930740714651E-2</v>
      </c>
      <c r="K333" s="10">
        <f t="shared" si="74"/>
        <v>-0.2940628071148651</v>
      </c>
      <c r="L333" s="10">
        <f t="shared" si="75"/>
        <v>8.7099890177739517E-2</v>
      </c>
      <c r="M333" s="10">
        <f t="shared" si="76"/>
        <v>-7.2384059117669736E-2</v>
      </c>
      <c r="N333" s="10">
        <f t="shared" si="77"/>
        <v>-0.12902393074071464</v>
      </c>
      <c r="O333" s="10">
        <f t="shared" si="78"/>
        <v>-0.36456280711486511</v>
      </c>
      <c r="Y333" s="7">
        <f t="shared" si="68"/>
        <v>0.15759989017773951</v>
      </c>
      <c r="Z333" s="7">
        <f t="shared" si="69"/>
        <v>-1.8840591176697437E-3</v>
      </c>
      <c r="AA333" s="7">
        <f t="shared" si="70"/>
        <v>-5.8523930740714651E-2</v>
      </c>
      <c r="AB333" s="7">
        <f t="shared" si="71"/>
        <v>-0.2940628071148651</v>
      </c>
      <c r="AC333" s="7">
        <f t="shared" si="79"/>
        <v>0.10669989017773951</v>
      </c>
      <c r="AD333" s="7">
        <f t="shared" si="80"/>
        <v>-5.2784059117669743E-2</v>
      </c>
      <c r="AE333" s="7">
        <f t="shared" si="81"/>
        <v>-0.10942393074071466</v>
      </c>
      <c r="AF333" s="7">
        <f t="shared" si="82"/>
        <v>-0.3449628071148651</v>
      </c>
    </row>
    <row r="334" spans="1:32" x14ac:dyDescent="0.3">
      <c r="A334" s="1">
        <v>44805</v>
      </c>
      <c r="B334">
        <f>AEP!F334</f>
        <v>83.231453000000002</v>
      </c>
      <c r="C334">
        <f>DFSVX!F334</f>
        <v>34.356949</v>
      </c>
      <c r="D334">
        <f>DFLVX!F334</f>
        <v>35.968525</v>
      </c>
      <c r="E334">
        <f>FSAGX!F334</f>
        <v>18.636279999999999</v>
      </c>
      <c r="F334" s="5">
        <f>'FRED Graph'!B344</f>
        <v>3.89</v>
      </c>
      <c r="G334" s="9">
        <f t="shared" si="83"/>
        <v>3.8900000000000004E-2</v>
      </c>
      <c r="H334" s="10">
        <f t="shared" si="72"/>
        <v>0.10142535821735728</v>
      </c>
      <c r="I334" s="10">
        <f t="shared" si="73"/>
        <v>-8.9614528541012442E-2</v>
      </c>
      <c r="J334" s="10">
        <f t="shared" si="74"/>
        <v>-0.11172956728762702</v>
      </c>
      <c r="K334" s="10">
        <f t="shared" si="74"/>
        <v>-0.21745829519745546</v>
      </c>
      <c r="L334" s="10">
        <f t="shared" si="75"/>
        <v>3.0925358217357285E-2</v>
      </c>
      <c r="M334" s="10">
        <f t="shared" si="76"/>
        <v>-0.16011452854101244</v>
      </c>
      <c r="N334" s="10">
        <f t="shared" si="77"/>
        <v>-0.18222956728762701</v>
      </c>
      <c r="O334" s="10">
        <f t="shared" si="78"/>
        <v>-0.28795829519745547</v>
      </c>
      <c r="Y334" s="7">
        <f t="shared" ref="Y334:Y346" si="84">(B334-B322)/B322</f>
        <v>0.10142535821735728</v>
      </c>
      <c r="Z334" s="7">
        <f t="shared" ref="Z334:Z346" si="85">(C334-C322)/C322</f>
        <v>-8.9614528541012442E-2</v>
      </c>
      <c r="AA334" s="7">
        <f t="shared" ref="AA334:AA346" si="86">(D334-D322)/D322</f>
        <v>-0.11172956728762702</v>
      </c>
      <c r="AB334" s="7">
        <f t="shared" ref="AB334:AB346" si="87">(E334-E322)/E322</f>
        <v>-0.21745829519745546</v>
      </c>
      <c r="AC334" s="7">
        <f t="shared" si="79"/>
        <v>5.0525358217357277E-2</v>
      </c>
      <c r="AD334" s="7">
        <f t="shared" si="80"/>
        <v>-0.14051452854101243</v>
      </c>
      <c r="AE334" s="7">
        <f t="shared" si="81"/>
        <v>-0.16262956728762701</v>
      </c>
      <c r="AF334" s="7">
        <f t="shared" si="82"/>
        <v>-0.26835829519745547</v>
      </c>
    </row>
    <row r="335" spans="1:32" x14ac:dyDescent="0.3">
      <c r="A335" s="1">
        <v>44835</v>
      </c>
      <c r="B335">
        <f>AEP!F335</f>
        <v>84.646728999999993</v>
      </c>
      <c r="C335">
        <f>DFSVX!F335</f>
        <v>39.563212999999998</v>
      </c>
      <c r="D335">
        <f>DFLVX!F335</f>
        <v>40.867972999999999</v>
      </c>
      <c r="E335">
        <f>FSAGX!F335</f>
        <v>18.656192999999998</v>
      </c>
      <c r="F335" s="5">
        <f>'FRED Graph'!B345</f>
        <v>4.43</v>
      </c>
      <c r="G335" s="9">
        <f t="shared" si="83"/>
        <v>4.4299999999999999E-2</v>
      </c>
      <c r="H335" s="10">
        <f t="shared" ref="H335:H346" si="88">(B335-B323)/B323</f>
        <v>7.3475415144138884E-2</v>
      </c>
      <c r="I335" s="10">
        <f t="shared" ref="I335:I346" si="89">(C335-C323)/C323</f>
        <v>6.5956428125416916E-3</v>
      </c>
      <c r="J335" s="10">
        <f t="shared" ref="J335:K346" si="90">(D335-D323)/D323</f>
        <v>-3.5317783310438999E-2</v>
      </c>
      <c r="K335" s="10">
        <f t="shared" si="90"/>
        <v>-0.26710452161504677</v>
      </c>
      <c r="L335" s="10">
        <f t="shared" ref="L335:L346" si="91">H335-$G$2</f>
        <v>2.9754151441388904E-3</v>
      </c>
      <c r="M335" s="10">
        <f t="shared" ref="M335:M346" si="92">I335-$G$2</f>
        <v>-6.3904357187458308E-2</v>
      </c>
      <c r="N335" s="10">
        <f t="shared" ref="N335:N346" si="93">J335-$G$2</f>
        <v>-0.10581778331043899</v>
      </c>
      <c r="O335" s="10">
        <f t="shared" ref="O335:O346" si="94">K335-$G$2</f>
        <v>-0.33760452161504678</v>
      </c>
      <c r="Y335" s="7">
        <f t="shared" si="84"/>
        <v>7.3475415144138884E-2</v>
      </c>
      <c r="Z335" s="7">
        <f t="shared" si="85"/>
        <v>6.5956428125416916E-3</v>
      </c>
      <c r="AA335" s="7">
        <f t="shared" si="86"/>
        <v>-3.5317783310438999E-2</v>
      </c>
      <c r="AB335" s="7">
        <f t="shared" si="87"/>
        <v>-0.26710452161504677</v>
      </c>
      <c r="AC335" s="7">
        <f t="shared" ref="AC335:AC346" si="95">Y335-$F$14/100</f>
        <v>2.2575415144138883E-2</v>
      </c>
      <c r="AD335" s="7">
        <f t="shared" ref="AD335:AD346" si="96">Z335-$F$14/100</f>
        <v>-4.4304357187458308E-2</v>
      </c>
      <c r="AE335" s="7">
        <f t="shared" ref="AE335:AE346" si="97">AA335-$F$14/100</f>
        <v>-8.6217783310439E-2</v>
      </c>
      <c r="AF335" s="7">
        <f t="shared" ref="AF335:AF346" si="98">AB335-$F$14/100</f>
        <v>-0.31800452161504678</v>
      </c>
    </row>
    <row r="336" spans="1:32" x14ac:dyDescent="0.3">
      <c r="A336" s="1">
        <v>44866</v>
      </c>
      <c r="B336">
        <f>AEP!F336</f>
        <v>93.196128999999999</v>
      </c>
      <c r="C336">
        <f>DFSVX!F336</f>
        <v>41.587997000000001</v>
      </c>
      <c r="D336">
        <f>DFLVX!F336</f>
        <v>43.265148000000003</v>
      </c>
      <c r="E336">
        <f>FSAGX!F336</f>
        <v>22.090762999999999</v>
      </c>
      <c r="F336" s="5">
        <f>'FRED Graph'!B346</f>
        <v>4.7300000000000004</v>
      </c>
      <c r="G336" s="9">
        <f t="shared" si="83"/>
        <v>4.7300000000000002E-2</v>
      </c>
      <c r="H336" s="10">
        <f t="shared" si="88"/>
        <v>0.23526858167316791</v>
      </c>
      <c r="I336" s="10">
        <f t="shared" si="89"/>
        <v>8.3126811375280565E-2</v>
      </c>
      <c r="J336" s="10">
        <f t="shared" si="90"/>
        <v>4.8443116369881543E-2</v>
      </c>
      <c r="K336" s="10">
        <f t="shared" si="90"/>
        <v>-0.12479414157671392</v>
      </c>
      <c r="L336" s="10">
        <f t="shared" si="91"/>
        <v>0.16476858167316794</v>
      </c>
      <c r="M336" s="10">
        <f t="shared" si="92"/>
        <v>1.2626811375280572E-2</v>
      </c>
      <c r="N336" s="10">
        <f t="shared" si="93"/>
        <v>-2.205688363011845E-2</v>
      </c>
      <c r="O336" s="10">
        <f t="shared" si="94"/>
        <v>-0.19529414157671393</v>
      </c>
      <c r="Y336" s="7">
        <f t="shared" si="84"/>
        <v>0.23526858167316791</v>
      </c>
      <c r="Z336" s="7">
        <f t="shared" si="85"/>
        <v>8.3126811375280565E-2</v>
      </c>
      <c r="AA336" s="7">
        <f t="shared" si="86"/>
        <v>4.8443116369881543E-2</v>
      </c>
      <c r="AB336" s="7">
        <f t="shared" si="87"/>
        <v>-0.12479414157671392</v>
      </c>
      <c r="AC336" s="7">
        <f t="shared" si="95"/>
        <v>0.18436858167316791</v>
      </c>
      <c r="AD336" s="7">
        <f t="shared" si="96"/>
        <v>3.2226811375280565E-2</v>
      </c>
      <c r="AE336" s="7">
        <f t="shared" si="97"/>
        <v>-2.4568836301184574E-3</v>
      </c>
      <c r="AF336" s="7">
        <f t="shared" si="98"/>
        <v>-0.17569414157671392</v>
      </c>
    </row>
    <row r="337" spans="1:32" x14ac:dyDescent="0.3">
      <c r="A337" s="1">
        <v>44896</v>
      </c>
      <c r="B337">
        <f>AEP!F337</f>
        <v>92.273109000000005</v>
      </c>
      <c r="C337">
        <f>DFSVX!F337</f>
        <v>37.001640000000002</v>
      </c>
      <c r="D337">
        <f>DFLVX!F337</f>
        <v>40.114024999999998</v>
      </c>
      <c r="E337">
        <f>FSAGX!F337</f>
        <v>22.339645000000001</v>
      </c>
      <c r="F337" s="5">
        <f>'FRED Graph'!B347</f>
        <v>4.68</v>
      </c>
      <c r="G337" s="9">
        <f t="shared" si="83"/>
        <v>4.6799999999999994E-2</v>
      </c>
      <c r="H337" s="10">
        <f t="shared" si="88"/>
        <v>0.10380347069958093</v>
      </c>
      <c r="I337" s="10">
        <f t="shared" si="89"/>
        <v>3.360811456223912E-3</v>
      </c>
      <c r="J337" s="10">
        <f t="shared" si="90"/>
        <v>-5.6198193456145379E-2</v>
      </c>
      <c r="K337" s="10">
        <f t="shared" si="90"/>
        <v>-0.12003999351797134</v>
      </c>
      <c r="L337" s="10">
        <f t="shared" si="91"/>
        <v>3.3303470699580937E-2</v>
      </c>
      <c r="M337" s="10">
        <f t="shared" si="92"/>
        <v>-6.7139188543776082E-2</v>
      </c>
      <c r="N337" s="10">
        <f t="shared" si="93"/>
        <v>-0.12669819345614536</v>
      </c>
      <c r="O337" s="10">
        <f t="shared" si="94"/>
        <v>-0.19053999351797135</v>
      </c>
      <c r="Y337" s="7">
        <f t="shared" si="84"/>
        <v>0.10380347069958093</v>
      </c>
      <c r="Z337" s="7">
        <f t="shared" si="85"/>
        <v>3.360811456223912E-3</v>
      </c>
      <c r="AA337" s="7">
        <f t="shared" si="86"/>
        <v>-5.6198193456145379E-2</v>
      </c>
      <c r="AB337" s="7">
        <f t="shared" si="87"/>
        <v>-0.12003999351797134</v>
      </c>
      <c r="AC337" s="7">
        <f t="shared" si="95"/>
        <v>5.2903470699580929E-2</v>
      </c>
      <c r="AD337" s="7">
        <f t="shared" si="96"/>
        <v>-4.753918854377609E-2</v>
      </c>
      <c r="AE337" s="7">
        <f t="shared" si="97"/>
        <v>-0.10709819345614538</v>
      </c>
      <c r="AF337" s="7">
        <f t="shared" si="98"/>
        <v>-0.17093999351797134</v>
      </c>
    </row>
    <row r="338" spans="1:32" x14ac:dyDescent="0.3">
      <c r="A338" s="1">
        <v>44927</v>
      </c>
      <c r="B338">
        <f>AEP!F338</f>
        <v>91.311027999999993</v>
      </c>
      <c r="C338">
        <f>DFSVX!F338</f>
        <v>42.509148000000003</v>
      </c>
      <c r="D338">
        <f>DFLVX!F338</f>
        <v>43.804381999999997</v>
      </c>
      <c r="E338">
        <f>FSAGX!F338</f>
        <v>24.878240999999999</v>
      </c>
      <c r="F338" s="5">
        <f>'FRED Graph'!B348</f>
        <v>4.6900000000000004</v>
      </c>
      <c r="G338" s="9">
        <f t="shared" si="83"/>
        <v>4.6900000000000004E-2</v>
      </c>
      <c r="H338" s="10">
        <f t="shared" si="88"/>
        <v>7.5016125943331846E-2</v>
      </c>
      <c r="I338" s="10">
        <f t="shared" si="89"/>
        <v>7.8828899763569063E-2</v>
      </c>
      <c r="J338" s="10">
        <f t="shared" si="90"/>
        <v>1.704919369533428E-2</v>
      </c>
      <c r="K338" s="10">
        <f t="shared" si="90"/>
        <v>3.3714995594766296E-2</v>
      </c>
      <c r="L338" s="10">
        <f t="shared" si="91"/>
        <v>4.5161259433318529E-3</v>
      </c>
      <c r="M338" s="10">
        <f t="shared" si="92"/>
        <v>8.3288997635690698E-3</v>
      </c>
      <c r="N338" s="10">
        <f t="shared" si="93"/>
        <v>-5.3450806304665713E-2</v>
      </c>
      <c r="O338" s="10">
        <f t="shared" si="94"/>
        <v>-3.6785004405233697E-2</v>
      </c>
      <c r="Y338" s="7">
        <f t="shared" si="84"/>
        <v>7.5016125943331846E-2</v>
      </c>
      <c r="Z338" s="7">
        <f t="shared" si="85"/>
        <v>7.8828899763569063E-2</v>
      </c>
      <c r="AA338" s="7">
        <f t="shared" si="86"/>
        <v>1.704919369533428E-2</v>
      </c>
      <c r="AB338" s="7">
        <f t="shared" si="87"/>
        <v>3.3714995594766296E-2</v>
      </c>
      <c r="AC338" s="7">
        <f t="shared" si="95"/>
        <v>2.4116125943331845E-2</v>
      </c>
      <c r="AD338" s="7">
        <f t="shared" si="96"/>
        <v>2.7928899763569062E-2</v>
      </c>
      <c r="AE338" s="7">
        <f t="shared" si="97"/>
        <v>-3.385080630466572E-2</v>
      </c>
      <c r="AF338" s="7">
        <f t="shared" si="98"/>
        <v>-1.7185004405233704E-2</v>
      </c>
    </row>
    <row r="339" spans="1:32" x14ac:dyDescent="0.3">
      <c r="A339" s="1">
        <v>44958</v>
      </c>
      <c r="B339">
        <f>AEP!F339</f>
        <v>85.489898999999994</v>
      </c>
      <c r="C339">
        <f>DFSVX!F339</f>
        <v>42.110748000000001</v>
      </c>
      <c r="D339">
        <f>DFLVX!F339</f>
        <v>42.253086000000003</v>
      </c>
      <c r="E339">
        <f>FSAGX!F339</f>
        <v>21.782147999999999</v>
      </c>
      <c r="F339" s="5">
        <f>'FRED Graph'!B349</f>
        <v>4.93</v>
      </c>
      <c r="G339" s="9">
        <f t="shared" si="83"/>
        <v>4.9299999999999997E-2</v>
      </c>
      <c r="H339" s="10">
        <f t="shared" si="88"/>
        <v>3.7074760198865454E-3</v>
      </c>
      <c r="I339" s="10">
        <f t="shared" si="89"/>
        <v>4.7378263031482244E-2</v>
      </c>
      <c r="J339" s="10">
        <f t="shared" si="90"/>
        <v>-1.3960114857672262E-2</v>
      </c>
      <c r="K339" s="10">
        <f t="shared" si="90"/>
        <v>-0.19164041179670002</v>
      </c>
      <c r="L339" s="10">
        <f t="shared" si="91"/>
        <v>-6.6792523980113441E-2</v>
      </c>
      <c r="M339" s="10">
        <f t="shared" si="92"/>
        <v>-2.3121736968517749E-2</v>
      </c>
      <c r="N339" s="10">
        <f t="shared" si="93"/>
        <v>-8.4460114857672255E-2</v>
      </c>
      <c r="O339" s="10">
        <f t="shared" si="94"/>
        <v>-0.2621404117967</v>
      </c>
      <c r="Y339" s="7">
        <f t="shared" si="84"/>
        <v>3.7074760198865454E-3</v>
      </c>
      <c r="Z339" s="7">
        <f t="shared" si="85"/>
        <v>4.7378263031482244E-2</v>
      </c>
      <c r="AA339" s="7">
        <f t="shared" si="86"/>
        <v>-1.3960114857672262E-2</v>
      </c>
      <c r="AB339" s="7">
        <f t="shared" si="87"/>
        <v>-0.19164041179670002</v>
      </c>
      <c r="AC339" s="7">
        <f t="shared" si="95"/>
        <v>-4.7192523980113456E-2</v>
      </c>
      <c r="AD339" s="7">
        <f t="shared" si="96"/>
        <v>-3.5217369685177566E-3</v>
      </c>
      <c r="AE339" s="7">
        <f t="shared" si="97"/>
        <v>-6.4860114857672263E-2</v>
      </c>
      <c r="AF339" s="7">
        <f t="shared" si="98"/>
        <v>-0.24254041179670002</v>
      </c>
    </row>
    <row r="340" spans="1:32" x14ac:dyDescent="0.3">
      <c r="A340" s="1">
        <v>44986</v>
      </c>
      <c r="B340">
        <f>AEP!F340</f>
        <v>89.244331000000003</v>
      </c>
      <c r="C340">
        <f>DFSVX!F340</f>
        <v>38.953437999999998</v>
      </c>
      <c r="D340">
        <f>DFLVX!F340</f>
        <v>41.228825000000001</v>
      </c>
      <c r="E340">
        <f>FSAGX!F340</f>
        <v>24.928018999999999</v>
      </c>
      <c r="F340" s="5">
        <f>'FRED Graph'!B350</f>
        <v>4.68</v>
      </c>
      <c r="G340" s="9">
        <f t="shared" si="83"/>
        <v>4.6799999999999994E-2</v>
      </c>
      <c r="H340" s="10">
        <f t="shared" si="88"/>
        <v>-5.6223736369339389E-2</v>
      </c>
      <c r="I340" s="10">
        <f t="shared" si="89"/>
        <v>-3.7851959801618908E-2</v>
      </c>
      <c r="J340" s="10">
        <f t="shared" si="90"/>
        <v>-5.1547438817545171E-2</v>
      </c>
      <c r="K340" s="10">
        <f t="shared" si="90"/>
        <v>-0.1680786536180241</v>
      </c>
      <c r="L340" s="10">
        <f t="shared" si="91"/>
        <v>-0.12672373636933937</v>
      </c>
      <c r="M340" s="10">
        <f t="shared" si="92"/>
        <v>-0.10835195980161891</v>
      </c>
      <c r="N340" s="10">
        <f t="shared" si="93"/>
        <v>-0.12204743881754516</v>
      </c>
      <c r="O340" s="10">
        <f t="shared" si="94"/>
        <v>-0.23857865361802411</v>
      </c>
      <c r="Y340" s="7">
        <f t="shared" si="84"/>
        <v>-5.6223736369339389E-2</v>
      </c>
      <c r="Z340" s="7">
        <f t="shared" si="85"/>
        <v>-3.7851959801618908E-2</v>
      </c>
      <c r="AA340" s="7">
        <f t="shared" si="86"/>
        <v>-5.1547438817545171E-2</v>
      </c>
      <c r="AB340" s="7">
        <f t="shared" si="87"/>
        <v>-0.1680786536180241</v>
      </c>
      <c r="AC340" s="7">
        <f t="shared" si="95"/>
        <v>-0.10712373636933939</v>
      </c>
      <c r="AD340" s="7">
        <f t="shared" si="96"/>
        <v>-8.8751959801618902E-2</v>
      </c>
      <c r="AE340" s="7">
        <f t="shared" si="97"/>
        <v>-0.10244743881754517</v>
      </c>
      <c r="AF340" s="7">
        <f t="shared" si="98"/>
        <v>-0.2189786536180241</v>
      </c>
    </row>
    <row r="341" spans="1:32" x14ac:dyDescent="0.3">
      <c r="A341" s="1">
        <v>45017</v>
      </c>
      <c r="B341">
        <f>AEP!F341</f>
        <v>90.646889000000002</v>
      </c>
      <c r="C341">
        <f>DFSVX!F341</f>
        <v>38.389999000000003</v>
      </c>
      <c r="D341">
        <f>DFLVX!F341</f>
        <v>41.919998</v>
      </c>
      <c r="E341">
        <f>FSAGX!F341</f>
        <v>25.296361999999998</v>
      </c>
      <c r="F341" s="5">
        <f>'FRED Graph'!B351</f>
        <v>4.68</v>
      </c>
      <c r="G341" s="9">
        <f t="shared" si="83"/>
        <v>4.6799999999999994E-2</v>
      </c>
      <c r="H341" s="10">
        <f t="shared" si="88"/>
        <v>-3.5007848588312331E-2</v>
      </c>
      <c r="I341" s="10">
        <f t="shared" si="89"/>
        <v>4.4828613868562158E-3</v>
      </c>
      <c r="J341" s="10">
        <f t="shared" si="90"/>
        <v>1.8860513832867073E-2</v>
      </c>
      <c r="K341" s="10">
        <f t="shared" si="90"/>
        <v>-6.8091422106179064E-2</v>
      </c>
      <c r="L341" s="10">
        <f t="shared" si="91"/>
        <v>-0.10550784858831233</v>
      </c>
      <c r="M341" s="10">
        <f t="shared" si="92"/>
        <v>-6.6017138613143775E-2</v>
      </c>
      <c r="N341" s="10">
        <f t="shared" si="93"/>
        <v>-5.1639486167132917E-2</v>
      </c>
      <c r="O341" s="10">
        <f t="shared" si="94"/>
        <v>-0.13859142210617906</v>
      </c>
      <c r="Y341" s="7">
        <f t="shared" si="84"/>
        <v>-3.5007848588312331E-2</v>
      </c>
      <c r="Z341" s="7">
        <f t="shared" si="85"/>
        <v>4.4828613868562158E-3</v>
      </c>
      <c r="AA341" s="7">
        <f t="shared" si="86"/>
        <v>1.8860513832867073E-2</v>
      </c>
      <c r="AB341" s="7">
        <f t="shared" si="87"/>
        <v>-6.8091422106179064E-2</v>
      </c>
      <c r="AC341" s="7">
        <f t="shared" si="95"/>
        <v>-8.5907848588312324E-2</v>
      </c>
      <c r="AD341" s="7">
        <f t="shared" si="96"/>
        <v>-4.6417138613143782E-2</v>
      </c>
      <c r="AE341" s="7">
        <f t="shared" si="97"/>
        <v>-3.2039486167132925E-2</v>
      </c>
      <c r="AF341" s="7">
        <f t="shared" si="98"/>
        <v>-0.11899142210617907</v>
      </c>
    </row>
    <row r="342" spans="1:32" x14ac:dyDescent="0.3">
      <c r="A342" s="1">
        <v>45047</v>
      </c>
      <c r="B342">
        <f>AEP!F342</f>
        <v>81.525322000000003</v>
      </c>
      <c r="C342">
        <f>DFSVX!F342</f>
        <v>37.029998999999997</v>
      </c>
      <c r="D342">
        <f>DFLVX!F342</f>
        <v>39.93</v>
      </c>
      <c r="E342">
        <f>FSAGX!F342</f>
        <v>23.01</v>
      </c>
      <c r="F342" s="5">
        <f>'FRED Graph'!B352</f>
        <v>4.91</v>
      </c>
      <c r="G342" s="9">
        <f t="shared" si="83"/>
        <v>4.9100000000000005E-2</v>
      </c>
      <c r="H342" s="10">
        <f t="shared" si="88"/>
        <v>-0.15695069406959214</v>
      </c>
      <c r="I342" s="10">
        <f t="shared" si="89"/>
        <v>-6.7595172021267524E-2</v>
      </c>
      <c r="J342" s="10">
        <f t="shared" si="90"/>
        <v>-7.0303106333156784E-2</v>
      </c>
      <c r="K342" s="10">
        <f t="shared" si="90"/>
        <v>-7.1006137899994173E-2</v>
      </c>
      <c r="L342" s="10">
        <f t="shared" si="91"/>
        <v>-0.22745069406959212</v>
      </c>
      <c r="M342" s="10">
        <f t="shared" si="92"/>
        <v>-0.13809517202126753</v>
      </c>
      <c r="N342" s="10">
        <f t="shared" si="93"/>
        <v>-0.14080310633315679</v>
      </c>
      <c r="O342" s="10">
        <f t="shared" si="94"/>
        <v>-0.14150613789999417</v>
      </c>
      <c r="Y342" s="7">
        <f t="shared" si="84"/>
        <v>-0.15695069406959214</v>
      </c>
      <c r="Z342" s="7">
        <f t="shared" si="85"/>
        <v>-6.7595172021267524E-2</v>
      </c>
      <c r="AA342" s="7">
        <f t="shared" si="86"/>
        <v>-7.0303106333156784E-2</v>
      </c>
      <c r="AB342" s="7">
        <f t="shared" si="87"/>
        <v>-7.1006137899994173E-2</v>
      </c>
      <c r="AC342" s="7">
        <f t="shared" si="95"/>
        <v>-0.20785069406959214</v>
      </c>
      <c r="AD342" s="7">
        <f t="shared" si="96"/>
        <v>-0.11849517202126753</v>
      </c>
      <c r="AE342" s="7">
        <f t="shared" si="97"/>
        <v>-0.12120310633315678</v>
      </c>
      <c r="AF342" s="7">
        <f t="shared" si="98"/>
        <v>-0.12190613789999417</v>
      </c>
    </row>
    <row r="343" spans="1:32" x14ac:dyDescent="0.3">
      <c r="A343" s="1">
        <v>45078</v>
      </c>
      <c r="B343">
        <f>AEP!F343</f>
        <v>83.335280999999995</v>
      </c>
      <c r="C343">
        <f>DFSVX!F343</f>
        <v>40.689999</v>
      </c>
      <c r="D343">
        <f>DFLVX!F343</f>
        <v>42.540000999999997</v>
      </c>
      <c r="E343">
        <f>FSAGX!F343</f>
        <v>22.34</v>
      </c>
      <c r="F343" s="5">
        <f>'FRED Graph'!B353</f>
        <v>5.24</v>
      </c>
      <c r="G343" s="9">
        <f t="shared" si="83"/>
        <v>5.2400000000000002E-2</v>
      </c>
      <c r="H343" s="10">
        <f t="shared" si="88"/>
        <v>-9.0705197722588365E-2</v>
      </c>
      <c r="I343" s="10">
        <f t="shared" si="89"/>
        <v>0.15202291860327946</v>
      </c>
      <c r="J343" s="10">
        <f t="shared" si="90"/>
        <v>0.11523531739913602</v>
      </c>
      <c r="K343" s="10">
        <f t="shared" si="90"/>
        <v>4.9595698931601713E-2</v>
      </c>
      <c r="L343" s="10">
        <f t="shared" si="91"/>
        <v>-0.16120519772258834</v>
      </c>
      <c r="M343" s="10">
        <f t="shared" si="92"/>
        <v>8.1522918603279468E-2</v>
      </c>
      <c r="N343" s="10">
        <f t="shared" si="93"/>
        <v>4.4735317399136026E-2</v>
      </c>
      <c r="O343" s="10">
        <f t="shared" si="94"/>
        <v>-2.090430106839828E-2</v>
      </c>
      <c r="Y343" s="7">
        <f t="shared" si="84"/>
        <v>-9.0705197722588365E-2</v>
      </c>
      <c r="Z343" s="7">
        <f t="shared" si="85"/>
        <v>0.15202291860327946</v>
      </c>
      <c r="AA343" s="7">
        <f t="shared" si="86"/>
        <v>0.11523531739913602</v>
      </c>
      <c r="AB343" s="7">
        <f t="shared" si="87"/>
        <v>4.9595698931601713E-2</v>
      </c>
      <c r="AC343" s="7">
        <f t="shared" si="95"/>
        <v>-0.14160519772258837</v>
      </c>
      <c r="AD343" s="7">
        <f t="shared" si="96"/>
        <v>0.10112291860327946</v>
      </c>
      <c r="AE343" s="7">
        <f t="shared" si="97"/>
        <v>6.4335317399136019E-2</v>
      </c>
      <c r="AF343" s="7">
        <f t="shared" si="98"/>
        <v>-1.3043010683982878E-3</v>
      </c>
    </row>
    <row r="344" spans="1:32" x14ac:dyDescent="0.3">
      <c r="A344" s="1">
        <v>45108</v>
      </c>
      <c r="B344">
        <f>AEP!F344</f>
        <v>83.869736000000003</v>
      </c>
      <c r="C344">
        <f>DFSVX!F344</f>
        <v>43.470001000000003</v>
      </c>
      <c r="D344">
        <f>DFLVX!F344</f>
        <v>44.369999</v>
      </c>
      <c r="E344">
        <f>FSAGX!F344</f>
        <v>23.27</v>
      </c>
      <c r="F344" s="5">
        <f>'FRED Graph'!B354</f>
        <v>5.37</v>
      </c>
      <c r="G344" s="9">
        <f t="shared" si="83"/>
        <v>5.3699999999999998E-2</v>
      </c>
      <c r="H344" s="10">
        <f t="shared" si="88"/>
        <v>-0.10920010133929584</v>
      </c>
      <c r="I344" s="10">
        <f t="shared" si="89"/>
        <v>0.11626837474127411</v>
      </c>
      <c r="J344" s="10">
        <f t="shared" si="90"/>
        <v>8.8246411171976569E-2</v>
      </c>
      <c r="K344" s="10">
        <f t="shared" si="90"/>
        <v>0.14524908158602873</v>
      </c>
      <c r="L344" s="10">
        <f t="shared" si="91"/>
        <v>-0.17970010133929581</v>
      </c>
      <c r="M344" s="10">
        <f t="shared" si="92"/>
        <v>4.5768374741274112E-2</v>
      </c>
      <c r="N344" s="10">
        <f t="shared" si="93"/>
        <v>1.7746411171976575E-2</v>
      </c>
      <c r="O344" s="10">
        <f t="shared" si="94"/>
        <v>7.4749081586028734E-2</v>
      </c>
      <c r="Y344" s="7">
        <f t="shared" si="84"/>
        <v>-0.10920010133929584</v>
      </c>
      <c r="Z344" s="7">
        <f t="shared" si="85"/>
        <v>0.11626837474127411</v>
      </c>
      <c r="AA344" s="7">
        <f t="shared" si="86"/>
        <v>8.8246411171976569E-2</v>
      </c>
      <c r="AB344" s="7">
        <f t="shared" si="87"/>
        <v>0.14524908158602873</v>
      </c>
      <c r="AC344" s="7">
        <f t="shared" si="95"/>
        <v>-0.16010010133929584</v>
      </c>
      <c r="AD344" s="7">
        <f t="shared" si="96"/>
        <v>6.5368374741274105E-2</v>
      </c>
      <c r="AE344" s="7">
        <f t="shared" si="97"/>
        <v>3.7346411171976568E-2</v>
      </c>
      <c r="AF344" s="7">
        <f t="shared" si="98"/>
        <v>9.4349081586028727E-2</v>
      </c>
    </row>
    <row r="345" spans="1:32" x14ac:dyDescent="0.3">
      <c r="A345" s="1">
        <v>45139</v>
      </c>
      <c r="B345">
        <f>AEP!F345</f>
        <v>77.594848999999996</v>
      </c>
      <c r="C345">
        <f>DFSVX!F345</f>
        <v>42.139999000000003</v>
      </c>
      <c r="D345">
        <f>DFLVX!F345</f>
        <v>43.16</v>
      </c>
      <c r="E345">
        <f>FSAGX!F345</f>
        <v>21.940000999999999</v>
      </c>
      <c r="F345" s="5">
        <f>'FRED Graph'!B355</f>
        <v>5.37</v>
      </c>
      <c r="G345" s="9">
        <f t="shared" si="83"/>
        <v>5.3699999999999998E-2</v>
      </c>
      <c r="H345" s="10">
        <f t="shared" si="88"/>
        <v>-0.18933638076723339</v>
      </c>
      <c r="I345" s="10">
        <f t="shared" si="89"/>
        <v>0.10608517207748552</v>
      </c>
      <c r="J345" s="10">
        <f t="shared" si="90"/>
        <v>8.9371387529256816E-2</v>
      </c>
      <c r="K345" s="10">
        <f t="shared" si="90"/>
        <v>0.17538991844433671</v>
      </c>
      <c r="L345" s="10">
        <f t="shared" si="91"/>
        <v>-0.25983638076723337</v>
      </c>
      <c r="M345" s="10">
        <f t="shared" si="92"/>
        <v>3.558517207748553E-2</v>
      </c>
      <c r="N345" s="10">
        <f t="shared" si="93"/>
        <v>1.8871387529256822E-2</v>
      </c>
      <c r="O345" s="10">
        <f t="shared" si="94"/>
        <v>0.10488991844433672</v>
      </c>
      <c r="Y345" s="7">
        <f t="shared" si="84"/>
        <v>-0.18933638076723339</v>
      </c>
      <c r="Z345" s="7">
        <f t="shared" si="85"/>
        <v>0.10608517207748552</v>
      </c>
      <c r="AA345" s="7">
        <f t="shared" si="86"/>
        <v>8.9371387529256816E-2</v>
      </c>
      <c r="AB345" s="7">
        <f t="shared" si="87"/>
        <v>0.17538991844433671</v>
      </c>
      <c r="AC345" s="7">
        <f t="shared" si="95"/>
        <v>-0.24023638076723339</v>
      </c>
      <c r="AD345" s="7">
        <f t="shared" si="96"/>
        <v>5.5185172077485523E-2</v>
      </c>
      <c r="AE345" s="7">
        <f t="shared" si="97"/>
        <v>3.8471387529256815E-2</v>
      </c>
      <c r="AF345" s="7">
        <f t="shared" si="98"/>
        <v>0.12448991844433671</v>
      </c>
    </row>
    <row r="346" spans="1:32" x14ac:dyDescent="0.3">
      <c r="A346" s="1">
        <v>45170</v>
      </c>
      <c r="B346">
        <f>AEP!F346</f>
        <v>75.220000999999996</v>
      </c>
      <c r="C346">
        <f>DFSVX!F346</f>
        <v>40.18</v>
      </c>
      <c r="D346">
        <f>DFLVX!F346</f>
        <v>41.720001000000003</v>
      </c>
      <c r="E346">
        <f>FSAGX!F346</f>
        <v>19.920000000000002</v>
      </c>
      <c r="F346" s="5">
        <f>'FRED Graph'!B356</f>
        <v>5.44</v>
      </c>
      <c r="G346" s="9">
        <f t="shared" si="83"/>
        <v>5.4400000000000004E-2</v>
      </c>
      <c r="H346" s="10">
        <f t="shared" si="88"/>
        <v>-9.6255102022549166E-2</v>
      </c>
      <c r="I346" s="10">
        <f t="shared" si="89"/>
        <v>0.16948684820645743</v>
      </c>
      <c r="J346" s="10">
        <f t="shared" si="90"/>
        <v>0.15990302632648973</v>
      </c>
      <c r="K346" s="10">
        <f t="shared" si="90"/>
        <v>6.888284571813702E-2</v>
      </c>
      <c r="L346" s="10">
        <f t="shared" si="91"/>
        <v>-0.16675510202254917</v>
      </c>
      <c r="M346" s="10">
        <f t="shared" si="92"/>
        <v>9.8986848206457437E-2</v>
      </c>
      <c r="N346" s="10">
        <f t="shared" si="93"/>
        <v>8.9403026326489735E-2</v>
      </c>
      <c r="O346" s="10">
        <f t="shared" si="94"/>
        <v>-1.6171542818629731E-3</v>
      </c>
      <c r="Y346" s="7">
        <f t="shared" si="84"/>
        <v>-9.6255102022549166E-2</v>
      </c>
      <c r="Z346" s="7">
        <f t="shared" si="85"/>
        <v>0.16948684820645743</v>
      </c>
      <c r="AA346" s="7">
        <f t="shared" si="86"/>
        <v>0.15990302632648973</v>
      </c>
      <c r="AB346" s="7">
        <f t="shared" si="87"/>
        <v>6.888284571813702E-2</v>
      </c>
      <c r="AC346" s="7">
        <f t="shared" si="95"/>
        <v>-0.14715510202254917</v>
      </c>
      <c r="AD346" s="7">
        <f t="shared" si="96"/>
        <v>0.11858684820645743</v>
      </c>
      <c r="AE346" s="7">
        <f t="shared" si="97"/>
        <v>0.10900302632648973</v>
      </c>
      <c r="AF346" s="7">
        <f t="shared" si="98"/>
        <v>1.7982845718137019E-2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11647-81B7-F943-BB06-F0A9B0519A63}">
  <dimension ref="A1:G346"/>
  <sheetViews>
    <sheetView workbookViewId="0">
      <selection activeCell="F62" sqref="F62"/>
    </sheetView>
  </sheetViews>
  <sheetFormatPr defaultColWidth="11.19921875" defaultRowHeight="15.6" x14ac:dyDescent="0.3"/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 s="1">
        <v>34700</v>
      </c>
      <c r="B2">
        <v>32.75</v>
      </c>
      <c r="C2">
        <v>35.125</v>
      </c>
      <c r="D2">
        <v>32.75</v>
      </c>
      <c r="E2">
        <v>35</v>
      </c>
      <c r="F2">
        <v>9.2322220000000002</v>
      </c>
      <c r="G2">
        <v>5483700</v>
      </c>
    </row>
    <row r="3" spans="1:7" x14ac:dyDescent="0.3">
      <c r="A3" s="1">
        <v>34731</v>
      </c>
      <c r="B3">
        <v>35</v>
      </c>
      <c r="C3">
        <v>35.75</v>
      </c>
      <c r="D3">
        <v>33.25</v>
      </c>
      <c r="E3">
        <v>33.875</v>
      </c>
      <c r="F3">
        <v>8.9354650000000007</v>
      </c>
      <c r="G3">
        <v>8567400</v>
      </c>
    </row>
    <row r="4" spans="1:7" x14ac:dyDescent="0.3">
      <c r="A4" s="1">
        <v>34759</v>
      </c>
      <c r="B4">
        <v>33.875</v>
      </c>
      <c r="C4">
        <v>33.875</v>
      </c>
      <c r="D4">
        <v>31.25</v>
      </c>
      <c r="E4">
        <v>31.75</v>
      </c>
      <c r="F4">
        <v>8.5178969999999996</v>
      </c>
      <c r="G4">
        <v>8348200</v>
      </c>
    </row>
    <row r="5" spans="1:7" x14ac:dyDescent="0.3">
      <c r="A5" s="1">
        <v>34790</v>
      </c>
      <c r="B5">
        <v>31.625</v>
      </c>
      <c r="C5">
        <v>33.125</v>
      </c>
      <c r="D5">
        <v>31.5</v>
      </c>
      <c r="E5">
        <v>32.75</v>
      </c>
      <c r="F5">
        <v>8.7861770000000003</v>
      </c>
      <c r="G5">
        <v>5412100</v>
      </c>
    </row>
    <row r="6" spans="1:7" x14ac:dyDescent="0.3">
      <c r="A6" s="1">
        <v>34820</v>
      </c>
      <c r="B6">
        <v>32.625</v>
      </c>
      <c r="C6">
        <v>34.25</v>
      </c>
      <c r="D6">
        <v>32</v>
      </c>
      <c r="E6">
        <v>34.25</v>
      </c>
      <c r="F6">
        <v>9.1885949999999994</v>
      </c>
      <c r="G6">
        <v>6760100</v>
      </c>
    </row>
    <row r="7" spans="1:7" x14ac:dyDescent="0.3">
      <c r="A7" s="1">
        <v>34851</v>
      </c>
      <c r="B7">
        <v>34</v>
      </c>
      <c r="C7">
        <v>35.375</v>
      </c>
      <c r="D7">
        <v>33.625</v>
      </c>
      <c r="E7">
        <v>35.125</v>
      </c>
      <c r="F7">
        <v>9.5998900000000003</v>
      </c>
      <c r="G7">
        <v>7421500</v>
      </c>
    </row>
    <row r="8" spans="1:7" x14ac:dyDescent="0.3">
      <c r="A8" s="1">
        <v>34881</v>
      </c>
      <c r="B8">
        <v>35</v>
      </c>
      <c r="C8">
        <v>35.25</v>
      </c>
      <c r="D8">
        <v>34</v>
      </c>
      <c r="E8">
        <v>34.5</v>
      </c>
      <c r="F8">
        <v>9.4290710000000004</v>
      </c>
      <c r="G8">
        <v>4361600</v>
      </c>
    </row>
    <row r="9" spans="1:7" x14ac:dyDescent="0.3">
      <c r="A9" s="1">
        <v>34912</v>
      </c>
      <c r="B9">
        <v>34.5</v>
      </c>
      <c r="C9">
        <v>35.25</v>
      </c>
      <c r="D9">
        <v>33.625</v>
      </c>
      <c r="E9">
        <v>34.125</v>
      </c>
      <c r="F9">
        <v>9.3265899999999995</v>
      </c>
      <c r="G9">
        <v>6461900</v>
      </c>
    </row>
    <row r="10" spans="1:7" x14ac:dyDescent="0.3">
      <c r="A10" s="1">
        <v>34943</v>
      </c>
      <c r="B10">
        <v>34.125</v>
      </c>
      <c r="C10">
        <v>36.5</v>
      </c>
      <c r="D10">
        <v>33.875</v>
      </c>
      <c r="E10">
        <v>36.375</v>
      </c>
      <c r="F10">
        <v>10.114293</v>
      </c>
      <c r="G10">
        <v>4150900</v>
      </c>
    </row>
    <row r="11" spans="1:7" x14ac:dyDescent="0.3">
      <c r="A11" s="1">
        <v>34973</v>
      </c>
      <c r="B11">
        <v>36.125</v>
      </c>
      <c r="C11">
        <v>39.625</v>
      </c>
      <c r="D11">
        <v>35.875</v>
      </c>
      <c r="E11">
        <v>38.125</v>
      </c>
      <c r="F11">
        <v>10.600892999999999</v>
      </c>
      <c r="G11">
        <v>6409800</v>
      </c>
    </row>
    <row r="12" spans="1:7" x14ac:dyDescent="0.3">
      <c r="A12" s="1">
        <v>35004</v>
      </c>
      <c r="B12">
        <v>38</v>
      </c>
      <c r="C12">
        <v>38.75</v>
      </c>
      <c r="D12">
        <v>36.625</v>
      </c>
      <c r="E12">
        <v>37.75</v>
      </c>
      <c r="F12">
        <v>10.49662</v>
      </c>
      <c r="G12">
        <v>9907900</v>
      </c>
    </row>
    <row r="13" spans="1:7" x14ac:dyDescent="0.3">
      <c r="A13" s="1">
        <v>35034</v>
      </c>
      <c r="B13">
        <v>37.625</v>
      </c>
      <c r="C13">
        <v>40.625</v>
      </c>
      <c r="D13">
        <v>37.625</v>
      </c>
      <c r="E13">
        <v>40.5</v>
      </c>
      <c r="F13">
        <v>11.441336</v>
      </c>
      <c r="G13">
        <v>6490800</v>
      </c>
    </row>
    <row r="14" spans="1:7" x14ac:dyDescent="0.3">
      <c r="A14" s="1">
        <v>35065</v>
      </c>
      <c r="B14">
        <v>40.5</v>
      </c>
      <c r="C14">
        <v>44.375</v>
      </c>
      <c r="D14">
        <v>40.25</v>
      </c>
      <c r="E14">
        <v>44.25</v>
      </c>
      <c r="F14">
        <v>12.500722</v>
      </c>
      <c r="G14">
        <v>12152300</v>
      </c>
    </row>
    <row r="15" spans="1:7" x14ac:dyDescent="0.3">
      <c r="A15" s="1">
        <v>35096</v>
      </c>
      <c r="B15">
        <v>44.125</v>
      </c>
      <c r="C15">
        <v>44.75</v>
      </c>
      <c r="D15">
        <v>42.75</v>
      </c>
      <c r="E15">
        <v>42.875</v>
      </c>
      <c r="F15">
        <v>12.112273999999999</v>
      </c>
      <c r="G15">
        <v>10701600</v>
      </c>
    </row>
    <row r="16" spans="1:7" x14ac:dyDescent="0.3">
      <c r="A16" s="1">
        <v>35125</v>
      </c>
      <c r="B16">
        <v>43</v>
      </c>
      <c r="C16">
        <v>43.5</v>
      </c>
      <c r="D16">
        <v>40.125</v>
      </c>
      <c r="E16">
        <v>41.75</v>
      </c>
      <c r="F16">
        <v>11.957523</v>
      </c>
      <c r="G16">
        <v>7723700</v>
      </c>
    </row>
    <row r="17" spans="1:7" x14ac:dyDescent="0.3">
      <c r="A17" s="1">
        <v>35156</v>
      </c>
      <c r="B17">
        <v>41.875</v>
      </c>
      <c r="C17">
        <v>41.875</v>
      </c>
      <c r="D17">
        <v>39.375</v>
      </c>
      <c r="E17">
        <v>40.625</v>
      </c>
      <c r="F17">
        <v>11.63531</v>
      </c>
      <c r="G17">
        <v>8685900</v>
      </c>
    </row>
    <row r="18" spans="1:7" x14ac:dyDescent="0.3">
      <c r="A18" s="1">
        <v>35186</v>
      </c>
      <c r="B18">
        <v>40.5</v>
      </c>
      <c r="C18">
        <v>41.375</v>
      </c>
      <c r="D18">
        <v>38.625</v>
      </c>
      <c r="E18">
        <v>40.125</v>
      </c>
      <c r="F18">
        <v>11.492106</v>
      </c>
      <c r="G18">
        <v>7987000</v>
      </c>
    </row>
    <row r="19" spans="1:7" x14ac:dyDescent="0.3">
      <c r="A19" s="1">
        <v>35217</v>
      </c>
      <c r="B19">
        <v>39.875</v>
      </c>
      <c r="C19">
        <v>42.75</v>
      </c>
      <c r="D19">
        <v>39.625</v>
      </c>
      <c r="E19">
        <v>42.625</v>
      </c>
      <c r="F19">
        <v>12.395822000000001</v>
      </c>
      <c r="G19">
        <v>6593600</v>
      </c>
    </row>
    <row r="20" spans="1:7" x14ac:dyDescent="0.3">
      <c r="A20" s="1">
        <v>35247</v>
      </c>
      <c r="B20">
        <v>42.5</v>
      </c>
      <c r="C20">
        <v>43</v>
      </c>
      <c r="D20">
        <v>41</v>
      </c>
      <c r="E20">
        <v>41.5</v>
      </c>
      <c r="F20">
        <v>12.068673</v>
      </c>
      <c r="G20">
        <v>8618200</v>
      </c>
    </row>
    <row r="21" spans="1:7" x14ac:dyDescent="0.3">
      <c r="A21" s="1">
        <v>35278</v>
      </c>
      <c r="B21">
        <v>41.5</v>
      </c>
      <c r="C21">
        <v>43.125</v>
      </c>
      <c r="D21">
        <v>41.125</v>
      </c>
      <c r="E21">
        <v>41.5</v>
      </c>
      <c r="F21">
        <v>12.068673</v>
      </c>
      <c r="G21">
        <v>5608300</v>
      </c>
    </row>
    <row r="22" spans="1:7" x14ac:dyDescent="0.3">
      <c r="A22" s="1">
        <v>35309</v>
      </c>
      <c r="B22">
        <v>41.125</v>
      </c>
      <c r="C22">
        <v>42</v>
      </c>
      <c r="D22">
        <v>40</v>
      </c>
      <c r="E22">
        <v>40.625</v>
      </c>
      <c r="F22">
        <v>11.982875</v>
      </c>
      <c r="G22">
        <v>5165800</v>
      </c>
    </row>
    <row r="23" spans="1:7" x14ac:dyDescent="0.3">
      <c r="A23" s="1">
        <v>35339</v>
      </c>
      <c r="B23">
        <v>40.75</v>
      </c>
      <c r="C23">
        <v>41.875</v>
      </c>
      <c r="D23">
        <v>40.25</v>
      </c>
      <c r="E23">
        <v>41.625</v>
      </c>
      <c r="F23">
        <v>12.277839999999999</v>
      </c>
      <c r="G23">
        <v>6448300</v>
      </c>
    </row>
    <row r="24" spans="1:7" x14ac:dyDescent="0.3">
      <c r="A24" s="1">
        <v>35370</v>
      </c>
      <c r="B24">
        <v>41.625</v>
      </c>
      <c r="C24">
        <v>42.5</v>
      </c>
      <c r="D24">
        <v>41.375</v>
      </c>
      <c r="E24">
        <v>41.5</v>
      </c>
      <c r="F24">
        <v>12.240973</v>
      </c>
      <c r="G24">
        <v>7810200</v>
      </c>
    </row>
    <row r="25" spans="1:7" x14ac:dyDescent="0.3">
      <c r="A25" s="1">
        <v>35400</v>
      </c>
      <c r="B25">
        <v>41.375</v>
      </c>
      <c r="C25">
        <v>41.875</v>
      </c>
      <c r="D25">
        <v>39.5</v>
      </c>
      <c r="E25">
        <v>41.125</v>
      </c>
      <c r="F25">
        <v>12.304587</v>
      </c>
      <c r="G25">
        <v>7480700</v>
      </c>
    </row>
    <row r="26" spans="1:7" x14ac:dyDescent="0.3">
      <c r="A26" s="1">
        <v>35431</v>
      </c>
      <c r="B26">
        <v>41.25</v>
      </c>
      <c r="C26">
        <v>43.1875</v>
      </c>
      <c r="D26">
        <v>40.25</v>
      </c>
      <c r="E26">
        <v>41.375</v>
      </c>
      <c r="F26">
        <v>12.379379</v>
      </c>
      <c r="G26">
        <v>6516000</v>
      </c>
    </row>
    <row r="27" spans="1:7" x14ac:dyDescent="0.3">
      <c r="A27" s="1">
        <v>35462</v>
      </c>
      <c r="B27">
        <v>41.375</v>
      </c>
      <c r="C27">
        <v>42.5</v>
      </c>
      <c r="D27">
        <v>40.5</v>
      </c>
      <c r="E27">
        <v>41.75</v>
      </c>
      <c r="F27">
        <v>12.491587000000001</v>
      </c>
      <c r="G27">
        <v>9692500</v>
      </c>
    </row>
    <row r="28" spans="1:7" x14ac:dyDescent="0.3">
      <c r="A28" s="1">
        <v>35490</v>
      </c>
      <c r="B28">
        <v>41.5</v>
      </c>
      <c r="C28">
        <v>42.625</v>
      </c>
      <c r="D28">
        <v>40</v>
      </c>
      <c r="E28">
        <v>41.25</v>
      </c>
      <c r="F28">
        <v>12.524715</v>
      </c>
      <c r="G28">
        <v>7703200</v>
      </c>
    </row>
    <row r="29" spans="1:7" x14ac:dyDescent="0.3">
      <c r="A29" s="1">
        <v>35521</v>
      </c>
      <c r="B29">
        <v>41.125</v>
      </c>
      <c r="C29">
        <v>41.5</v>
      </c>
      <c r="D29">
        <v>39.5</v>
      </c>
      <c r="E29">
        <v>40.5</v>
      </c>
      <c r="F29">
        <v>12.296994</v>
      </c>
      <c r="G29">
        <v>5811200</v>
      </c>
    </row>
    <row r="30" spans="1:7" x14ac:dyDescent="0.3">
      <c r="A30" s="1">
        <v>35551</v>
      </c>
      <c r="B30">
        <v>40.25</v>
      </c>
      <c r="C30">
        <v>42.5</v>
      </c>
      <c r="D30">
        <v>39.125</v>
      </c>
      <c r="E30">
        <v>40.625</v>
      </c>
      <c r="F30">
        <v>12.334947</v>
      </c>
      <c r="G30">
        <v>8071900</v>
      </c>
    </row>
    <row r="31" spans="1:7" x14ac:dyDescent="0.3">
      <c r="A31" s="1">
        <v>35582</v>
      </c>
      <c r="B31">
        <v>40.75</v>
      </c>
      <c r="C31">
        <v>42.125</v>
      </c>
      <c r="D31">
        <v>40</v>
      </c>
      <c r="E31">
        <v>41.9375</v>
      </c>
      <c r="F31">
        <v>12.916891</v>
      </c>
      <c r="G31">
        <v>7455600</v>
      </c>
    </row>
    <row r="32" spans="1:7" x14ac:dyDescent="0.3">
      <c r="A32" s="1">
        <v>35612</v>
      </c>
      <c r="B32">
        <v>41.875</v>
      </c>
      <c r="C32">
        <v>45</v>
      </c>
      <c r="D32">
        <v>41.5</v>
      </c>
      <c r="E32">
        <v>44.75</v>
      </c>
      <c r="F32">
        <v>13.783156999999999</v>
      </c>
      <c r="G32">
        <v>11878300</v>
      </c>
    </row>
    <row r="33" spans="1:7" x14ac:dyDescent="0.3">
      <c r="A33" s="1">
        <v>35643</v>
      </c>
      <c r="B33">
        <v>44.625</v>
      </c>
      <c r="C33">
        <v>44.6875</v>
      </c>
      <c r="D33">
        <v>42.375</v>
      </c>
      <c r="E33">
        <v>43.6875</v>
      </c>
      <c r="F33">
        <v>13.455894000000001</v>
      </c>
      <c r="G33">
        <v>8967000</v>
      </c>
    </row>
    <row r="34" spans="1:7" x14ac:dyDescent="0.3">
      <c r="A34" s="1">
        <v>35674</v>
      </c>
      <c r="B34">
        <v>43.75</v>
      </c>
      <c r="C34">
        <v>46.625</v>
      </c>
      <c r="D34">
        <v>43.75</v>
      </c>
      <c r="E34">
        <v>45.5</v>
      </c>
      <c r="F34">
        <v>14.206524999999999</v>
      </c>
      <c r="G34">
        <v>7939000</v>
      </c>
    </row>
    <row r="35" spans="1:7" x14ac:dyDescent="0.3">
      <c r="A35" s="1">
        <v>35704</v>
      </c>
      <c r="B35">
        <v>45.5625</v>
      </c>
      <c r="C35">
        <v>47.9375</v>
      </c>
      <c r="D35">
        <v>45.25</v>
      </c>
      <c r="E35">
        <v>47.25</v>
      </c>
      <c r="F35">
        <v>14.752926</v>
      </c>
      <c r="G35">
        <v>7006800</v>
      </c>
    </row>
    <row r="36" spans="1:7" x14ac:dyDescent="0.3">
      <c r="A36" s="1">
        <v>35735</v>
      </c>
      <c r="B36">
        <v>47.5</v>
      </c>
      <c r="C36">
        <v>50</v>
      </c>
      <c r="D36">
        <v>46.1875</v>
      </c>
      <c r="E36">
        <v>49.5625</v>
      </c>
      <c r="F36">
        <v>15.474959</v>
      </c>
      <c r="G36">
        <v>6902600</v>
      </c>
    </row>
    <row r="37" spans="1:7" x14ac:dyDescent="0.3">
      <c r="A37" s="1">
        <v>35765</v>
      </c>
      <c r="B37">
        <v>49.75</v>
      </c>
      <c r="C37">
        <v>52</v>
      </c>
      <c r="D37">
        <v>48.75</v>
      </c>
      <c r="E37">
        <v>51.625</v>
      </c>
      <c r="F37">
        <v>16.324052999999999</v>
      </c>
      <c r="G37">
        <v>8664000</v>
      </c>
    </row>
    <row r="38" spans="1:7" x14ac:dyDescent="0.3">
      <c r="A38" s="1">
        <v>35796</v>
      </c>
      <c r="B38">
        <v>51.4375</v>
      </c>
      <c r="C38">
        <v>51.6875</v>
      </c>
      <c r="D38">
        <v>49.0625</v>
      </c>
      <c r="E38">
        <v>49.3125</v>
      </c>
      <c r="F38">
        <v>15.592827</v>
      </c>
      <c r="G38">
        <v>9376000</v>
      </c>
    </row>
    <row r="39" spans="1:7" x14ac:dyDescent="0.3">
      <c r="A39" s="1">
        <v>35827</v>
      </c>
      <c r="B39">
        <v>49.4375</v>
      </c>
      <c r="C39">
        <v>50.1875</v>
      </c>
      <c r="D39">
        <v>48</v>
      </c>
      <c r="E39">
        <v>48</v>
      </c>
      <c r="F39">
        <v>15.177809</v>
      </c>
      <c r="G39">
        <v>10410800</v>
      </c>
    </row>
    <row r="40" spans="1:7" x14ac:dyDescent="0.3">
      <c r="A40" s="1">
        <v>35855</v>
      </c>
      <c r="B40">
        <v>47.8125</v>
      </c>
      <c r="C40">
        <v>51.125</v>
      </c>
      <c r="D40">
        <v>47.8125</v>
      </c>
      <c r="E40">
        <v>50.25</v>
      </c>
      <c r="F40">
        <v>16.084229000000001</v>
      </c>
      <c r="G40">
        <v>8440000</v>
      </c>
    </row>
    <row r="41" spans="1:7" x14ac:dyDescent="0.3">
      <c r="A41" s="1">
        <v>35886</v>
      </c>
      <c r="B41">
        <v>50.3125</v>
      </c>
      <c r="C41">
        <v>50.75</v>
      </c>
      <c r="D41">
        <v>46</v>
      </c>
      <c r="E41">
        <v>47.75</v>
      </c>
      <c r="F41">
        <v>15.284019000000001</v>
      </c>
      <c r="G41">
        <v>8143300</v>
      </c>
    </row>
    <row r="42" spans="1:7" x14ac:dyDescent="0.3">
      <c r="A42" s="1">
        <v>35916</v>
      </c>
      <c r="B42">
        <v>47.75</v>
      </c>
      <c r="C42">
        <v>47.8125</v>
      </c>
      <c r="D42">
        <v>44.6875</v>
      </c>
      <c r="E42">
        <v>45.375</v>
      </c>
      <c r="F42">
        <v>14.523814</v>
      </c>
      <c r="G42">
        <v>7090600</v>
      </c>
    </row>
    <row r="43" spans="1:7" x14ac:dyDescent="0.3">
      <c r="A43" s="1">
        <v>35947</v>
      </c>
      <c r="B43">
        <v>45.5625</v>
      </c>
      <c r="C43">
        <v>48.1875</v>
      </c>
      <c r="D43">
        <v>44.8125</v>
      </c>
      <c r="E43">
        <v>45.375</v>
      </c>
      <c r="F43">
        <v>14.710364999999999</v>
      </c>
      <c r="G43">
        <v>7808000</v>
      </c>
    </row>
    <row r="44" spans="1:7" x14ac:dyDescent="0.3">
      <c r="A44" s="1">
        <v>35977</v>
      </c>
      <c r="B44">
        <v>45.5</v>
      </c>
      <c r="C44">
        <v>46.6875</v>
      </c>
      <c r="D44">
        <v>42.9375</v>
      </c>
      <c r="E44">
        <v>42.9375</v>
      </c>
      <c r="F44">
        <v>13.920147</v>
      </c>
      <c r="G44">
        <v>5267600</v>
      </c>
    </row>
    <row r="45" spans="1:7" x14ac:dyDescent="0.3">
      <c r="A45" s="1">
        <v>36008</v>
      </c>
      <c r="B45">
        <v>43.1875</v>
      </c>
      <c r="C45">
        <v>46.5625</v>
      </c>
      <c r="D45">
        <v>42.0625</v>
      </c>
      <c r="E45">
        <v>45.25</v>
      </c>
      <c r="F45">
        <v>14.669851</v>
      </c>
      <c r="G45">
        <v>8658200</v>
      </c>
    </row>
    <row r="46" spans="1:7" x14ac:dyDescent="0.3">
      <c r="A46" s="1">
        <v>36039</v>
      </c>
      <c r="B46">
        <v>45</v>
      </c>
      <c r="C46">
        <v>48.8125</v>
      </c>
      <c r="D46">
        <v>43.625</v>
      </c>
      <c r="E46">
        <v>48.8125</v>
      </c>
      <c r="F46">
        <v>16.044205000000002</v>
      </c>
      <c r="G46">
        <v>6340800</v>
      </c>
    </row>
    <row r="47" spans="1:7" x14ac:dyDescent="0.3">
      <c r="A47" s="1">
        <v>36069</v>
      </c>
      <c r="B47">
        <v>48.6875</v>
      </c>
      <c r="C47">
        <v>53.3125</v>
      </c>
      <c r="D47">
        <v>48.25</v>
      </c>
      <c r="E47">
        <v>48.9375</v>
      </c>
      <c r="F47">
        <v>16.085289</v>
      </c>
      <c r="G47">
        <v>11838600</v>
      </c>
    </row>
    <row r="48" spans="1:7" x14ac:dyDescent="0.3">
      <c r="A48" s="1">
        <v>36100</v>
      </c>
      <c r="B48">
        <v>49.1875</v>
      </c>
      <c r="C48">
        <v>51</v>
      </c>
      <c r="D48">
        <v>46.375</v>
      </c>
      <c r="E48">
        <v>46.375</v>
      </c>
      <c r="F48">
        <v>15.243012999999999</v>
      </c>
      <c r="G48">
        <v>11310600</v>
      </c>
    </row>
    <row r="49" spans="1:7" x14ac:dyDescent="0.3">
      <c r="A49" s="1">
        <v>36130</v>
      </c>
      <c r="B49">
        <v>46.75</v>
      </c>
      <c r="C49">
        <v>48.25</v>
      </c>
      <c r="D49">
        <v>45.3125</v>
      </c>
      <c r="E49">
        <v>47.0625</v>
      </c>
      <c r="F49">
        <v>15.655457</v>
      </c>
      <c r="G49">
        <v>7285700</v>
      </c>
    </row>
    <row r="50" spans="1:7" x14ac:dyDescent="0.3">
      <c r="A50" s="1">
        <v>36161</v>
      </c>
      <c r="B50">
        <v>47.0625</v>
      </c>
      <c r="C50">
        <v>48.1875</v>
      </c>
      <c r="D50">
        <v>43.625</v>
      </c>
      <c r="E50">
        <v>43.8125</v>
      </c>
      <c r="F50">
        <v>14.574344</v>
      </c>
      <c r="G50">
        <v>10361600</v>
      </c>
    </row>
    <row r="51" spans="1:7" x14ac:dyDescent="0.3">
      <c r="A51" s="1">
        <v>36192</v>
      </c>
      <c r="B51">
        <v>43.8125</v>
      </c>
      <c r="C51">
        <v>43.875</v>
      </c>
      <c r="D51">
        <v>40.75</v>
      </c>
      <c r="E51">
        <v>41.625</v>
      </c>
      <c r="F51">
        <v>13.846662</v>
      </c>
      <c r="G51">
        <v>11166600</v>
      </c>
    </row>
    <row r="52" spans="1:7" x14ac:dyDescent="0.3">
      <c r="A52" s="1">
        <v>36220</v>
      </c>
      <c r="B52">
        <v>41.625</v>
      </c>
      <c r="C52">
        <v>43.5</v>
      </c>
      <c r="D52">
        <v>39.3125</v>
      </c>
      <c r="E52">
        <v>39.6875</v>
      </c>
      <c r="F52">
        <v>13.390084999999999</v>
      </c>
      <c r="G52">
        <v>8667100</v>
      </c>
    </row>
    <row r="53" spans="1:7" x14ac:dyDescent="0.3">
      <c r="A53" s="1">
        <v>36251</v>
      </c>
      <c r="B53">
        <v>39.5625</v>
      </c>
      <c r="C53">
        <v>41.8125</v>
      </c>
      <c r="D53">
        <v>39.125</v>
      </c>
      <c r="E53">
        <v>41.4375</v>
      </c>
      <c r="F53">
        <v>13.980505000000001</v>
      </c>
      <c r="G53">
        <v>9343700</v>
      </c>
    </row>
    <row r="54" spans="1:7" x14ac:dyDescent="0.3">
      <c r="A54" s="1">
        <v>36281</v>
      </c>
      <c r="B54">
        <v>41.4375</v>
      </c>
      <c r="C54">
        <v>44.0625</v>
      </c>
      <c r="D54">
        <v>40.625</v>
      </c>
      <c r="E54">
        <v>43.375</v>
      </c>
      <c r="F54">
        <v>14.634199000000001</v>
      </c>
      <c r="G54">
        <v>7503100</v>
      </c>
    </row>
    <row r="55" spans="1:7" x14ac:dyDescent="0.3">
      <c r="A55" s="1">
        <v>36312</v>
      </c>
      <c r="B55">
        <v>43.3125</v>
      </c>
      <c r="C55">
        <v>43.375</v>
      </c>
      <c r="D55">
        <v>37.4375</v>
      </c>
      <c r="E55">
        <v>37.5625</v>
      </c>
      <c r="F55">
        <v>12.857358</v>
      </c>
      <c r="G55">
        <v>8858000</v>
      </c>
    </row>
    <row r="56" spans="1:7" x14ac:dyDescent="0.3">
      <c r="A56" s="1">
        <v>36342</v>
      </c>
      <c r="B56">
        <v>37.5625</v>
      </c>
      <c r="C56">
        <v>37.875</v>
      </c>
      <c r="D56">
        <v>35.125</v>
      </c>
      <c r="E56">
        <v>35.375</v>
      </c>
      <c r="F56">
        <v>12.108587999999999</v>
      </c>
      <c r="G56">
        <v>13937200</v>
      </c>
    </row>
    <row r="57" spans="1:7" x14ac:dyDescent="0.3">
      <c r="A57" s="1">
        <v>36373</v>
      </c>
      <c r="B57">
        <v>35.25</v>
      </c>
      <c r="C57">
        <v>37.5625</v>
      </c>
      <c r="D57">
        <v>34.6875</v>
      </c>
      <c r="E57">
        <v>36.3125</v>
      </c>
      <c r="F57">
        <v>12.429487999999999</v>
      </c>
      <c r="G57">
        <v>9268400</v>
      </c>
    </row>
    <row r="58" spans="1:7" x14ac:dyDescent="0.3">
      <c r="A58" s="1">
        <v>36404</v>
      </c>
      <c r="B58">
        <v>36.3125</v>
      </c>
      <c r="C58">
        <v>37.0625</v>
      </c>
      <c r="D58">
        <v>33.5</v>
      </c>
      <c r="E58">
        <v>34.125</v>
      </c>
      <c r="F58">
        <v>11.874935000000001</v>
      </c>
      <c r="G58">
        <v>5399700</v>
      </c>
    </row>
    <row r="59" spans="1:7" x14ac:dyDescent="0.3">
      <c r="A59" s="1">
        <v>36434</v>
      </c>
      <c r="B59">
        <v>34.3125</v>
      </c>
      <c r="C59">
        <v>35.8125</v>
      </c>
      <c r="D59">
        <v>33.125</v>
      </c>
      <c r="E59">
        <v>34.5</v>
      </c>
      <c r="F59">
        <v>12.005425000000001</v>
      </c>
      <c r="G59">
        <v>7454100</v>
      </c>
    </row>
    <row r="60" spans="1:7" x14ac:dyDescent="0.3">
      <c r="A60" s="1">
        <v>36465</v>
      </c>
      <c r="B60">
        <v>34.3125</v>
      </c>
      <c r="C60">
        <v>35.5</v>
      </c>
      <c r="D60">
        <v>30.5625</v>
      </c>
      <c r="E60">
        <v>31.375</v>
      </c>
      <c r="F60">
        <v>10.917973</v>
      </c>
      <c r="G60">
        <v>10782700</v>
      </c>
    </row>
    <row r="61" spans="1:7" x14ac:dyDescent="0.3">
      <c r="A61" s="1">
        <v>36495</v>
      </c>
      <c r="B61">
        <v>31.125</v>
      </c>
      <c r="C61">
        <v>32.8125</v>
      </c>
      <c r="D61">
        <v>31</v>
      </c>
      <c r="E61">
        <v>32.125</v>
      </c>
      <c r="F61">
        <v>11.372888</v>
      </c>
      <c r="G61">
        <v>9623900</v>
      </c>
    </row>
    <row r="62" spans="1:7" x14ac:dyDescent="0.3">
      <c r="A62" s="1">
        <v>36526</v>
      </c>
      <c r="B62">
        <v>32</v>
      </c>
      <c r="C62">
        <v>34.4375</v>
      </c>
      <c r="D62">
        <v>31.125</v>
      </c>
      <c r="E62">
        <v>33.5</v>
      </c>
      <c r="F62">
        <v>11.859662</v>
      </c>
      <c r="G62">
        <v>8356200</v>
      </c>
    </row>
    <row r="63" spans="1:7" x14ac:dyDescent="0.3">
      <c r="A63" s="1">
        <v>36557</v>
      </c>
      <c r="B63">
        <v>33.5</v>
      </c>
      <c r="C63">
        <v>34.9375</v>
      </c>
      <c r="D63">
        <v>28</v>
      </c>
      <c r="E63">
        <v>28.125</v>
      </c>
      <c r="F63">
        <v>9.9568119999999993</v>
      </c>
      <c r="G63">
        <v>10910900</v>
      </c>
    </row>
    <row r="64" spans="1:7" x14ac:dyDescent="0.3">
      <c r="A64" s="1">
        <v>36586</v>
      </c>
      <c r="B64">
        <v>28.125</v>
      </c>
      <c r="C64">
        <v>31.125</v>
      </c>
      <c r="D64">
        <v>25.9375</v>
      </c>
      <c r="E64">
        <v>29.8125</v>
      </c>
      <c r="F64">
        <v>10.745608000000001</v>
      </c>
      <c r="G64">
        <v>11314500</v>
      </c>
    </row>
    <row r="65" spans="1:7" x14ac:dyDescent="0.3">
      <c r="A65" s="1">
        <v>36617</v>
      </c>
      <c r="B65">
        <v>29.8125</v>
      </c>
      <c r="C65">
        <v>38.5</v>
      </c>
      <c r="D65">
        <v>29.5</v>
      </c>
      <c r="E65">
        <v>36.625</v>
      </c>
      <c r="F65">
        <v>13.201097000000001</v>
      </c>
      <c r="G65">
        <v>10811400</v>
      </c>
    </row>
    <row r="66" spans="1:7" x14ac:dyDescent="0.3">
      <c r="A66" s="1">
        <v>36647</v>
      </c>
      <c r="B66">
        <v>37.375</v>
      </c>
      <c r="C66">
        <v>37.375</v>
      </c>
      <c r="D66">
        <v>34</v>
      </c>
      <c r="E66">
        <v>35.5625</v>
      </c>
      <c r="F66">
        <v>12.818134000000001</v>
      </c>
      <c r="G66">
        <v>11461400</v>
      </c>
    </row>
    <row r="67" spans="1:7" x14ac:dyDescent="0.3">
      <c r="A67" s="1">
        <v>36678</v>
      </c>
      <c r="B67">
        <v>35.75</v>
      </c>
      <c r="C67">
        <v>35.9375</v>
      </c>
      <c r="D67">
        <v>29.4375</v>
      </c>
      <c r="E67">
        <v>29.625</v>
      </c>
      <c r="F67">
        <v>10.866325</v>
      </c>
      <c r="G67">
        <v>15937800</v>
      </c>
    </row>
    <row r="68" spans="1:7" x14ac:dyDescent="0.3">
      <c r="A68" s="1">
        <v>36708</v>
      </c>
      <c r="B68">
        <v>30</v>
      </c>
      <c r="C68">
        <v>34.5</v>
      </c>
      <c r="D68">
        <v>29.9375</v>
      </c>
      <c r="E68">
        <v>32.8125</v>
      </c>
      <c r="F68">
        <v>12.035482</v>
      </c>
      <c r="G68">
        <v>14118500</v>
      </c>
    </row>
    <row r="69" spans="1:7" x14ac:dyDescent="0.3">
      <c r="A69" s="1">
        <v>36739</v>
      </c>
      <c r="B69">
        <v>32.8125</v>
      </c>
      <c r="C69">
        <v>36.1875</v>
      </c>
      <c r="D69">
        <v>32.8125</v>
      </c>
      <c r="E69">
        <v>35.140625</v>
      </c>
      <c r="F69">
        <v>12.889435000000001</v>
      </c>
      <c r="G69">
        <v>16613000</v>
      </c>
    </row>
    <row r="70" spans="1:7" x14ac:dyDescent="0.3">
      <c r="A70" s="1">
        <v>36770</v>
      </c>
      <c r="B70">
        <v>35.375</v>
      </c>
      <c r="C70">
        <v>40</v>
      </c>
      <c r="D70">
        <v>35</v>
      </c>
      <c r="E70">
        <v>39.140625</v>
      </c>
      <c r="F70">
        <v>14.606567999999999</v>
      </c>
      <c r="G70">
        <v>21651500</v>
      </c>
    </row>
    <row r="71" spans="1:7" x14ac:dyDescent="0.3">
      <c r="A71" s="1">
        <v>36800</v>
      </c>
      <c r="B71">
        <v>39.125</v>
      </c>
      <c r="C71">
        <v>42.375</v>
      </c>
      <c r="D71">
        <v>36.1875</v>
      </c>
      <c r="E71">
        <v>41.5</v>
      </c>
      <c r="F71">
        <v>15.487034</v>
      </c>
      <c r="G71">
        <v>20594600</v>
      </c>
    </row>
    <row r="72" spans="1:7" x14ac:dyDescent="0.3">
      <c r="A72" s="1">
        <v>36831</v>
      </c>
      <c r="B72">
        <v>41.375</v>
      </c>
      <c r="C72">
        <v>46.25</v>
      </c>
      <c r="D72">
        <v>40.25</v>
      </c>
      <c r="E72">
        <v>46</v>
      </c>
      <c r="F72">
        <v>17.166350999999999</v>
      </c>
      <c r="G72">
        <v>24117900</v>
      </c>
    </row>
    <row r="73" spans="1:7" x14ac:dyDescent="0.3">
      <c r="A73" s="1">
        <v>36861</v>
      </c>
      <c r="B73">
        <v>45.6875</v>
      </c>
      <c r="C73">
        <v>48.9375</v>
      </c>
      <c r="D73">
        <v>43.0625</v>
      </c>
      <c r="E73">
        <v>46.5</v>
      </c>
      <c r="F73">
        <v>17.611066999999998</v>
      </c>
      <c r="G73">
        <v>24037400</v>
      </c>
    </row>
    <row r="74" spans="1:7" x14ac:dyDescent="0.3">
      <c r="A74" s="1">
        <v>36892</v>
      </c>
      <c r="B74">
        <v>46.125</v>
      </c>
      <c r="C74">
        <v>46.625</v>
      </c>
      <c r="D74">
        <v>39.25</v>
      </c>
      <c r="E74">
        <v>43.25</v>
      </c>
      <c r="F74">
        <v>16.380184</v>
      </c>
      <c r="G74">
        <v>25344500</v>
      </c>
    </row>
    <row r="75" spans="1:7" x14ac:dyDescent="0.3">
      <c r="A75" s="1">
        <v>36923</v>
      </c>
      <c r="B75">
        <v>43.25</v>
      </c>
      <c r="C75">
        <v>48.099997999999999</v>
      </c>
      <c r="D75">
        <v>42.709999000000003</v>
      </c>
      <c r="E75">
        <v>47.540000999999997</v>
      </c>
      <c r="F75">
        <v>18.004943999999998</v>
      </c>
      <c r="G75">
        <v>16161800</v>
      </c>
    </row>
    <row r="76" spans="1:7" x14ac:dyDescent="0.3">
      <c r="A76" s="1">
        <v>36951</v>
      </c>
      <c r="B76">
        <v>47.599997999999999</v>
      </c>
      <c r="C76">
        <v>47.990001999999997</v>
      </c>
      <c r="D76">
        <v>41.450001</v>
      </c>
      <c r="E76">
        <v>47</v>
      </c>
      <c r="F76">
        <v>18.043659000000002</v>
      </c>
      <c r="G76">
        <v>20497100</v>
      </c>
    </row>
    <row r="77" spans="1:7" x14ac:dyDescent="0.3">
      <c r="A77" s="1">
        <v>36982</v>
      </c>
      <c r="B77">
        <v>47</v>
      </c>
      <c r="C77">
        <v>50.400002000000001</v>
      </c>
      <c r="D77">
        <v>46</v>
      </c>
      <c r="E77">
        <v>49.34</v>
      </c>
      <c r="F77">
        <v>18.942008999999999</v>
      </c>
      <c r="G77">
        <v>19665400</v>
      </c>
    </row>
    <row r="78" spans="1:7" x14ac:dyDescent="0.3">
      <c r="A78" s="1">
        <v>37012</v>
      </c>
      <c r="B78">
        <v>49.299999</v>
      </c>
      <c r="C78">
        <v>51.200001</v>
      </c>
      <c r="D78">
        <v>47.060001</v>
      </c>
      <c r="E78">
        <v>50.200001</v>
      </c>
      <c r="F78">
        <v>19.272167</v>
      </c>
      <c r="G78">
        <v>19413800</v>
      </c>
    </row>
    <row r="79" spans="1:7" x14ac:dyDescent="0.3">
      <c r="A79" s="1">
        <v>37043</v>
      </c>
      <c r="B79">
        <v>50.400002000000001</v>
      </c>
      <c r="C79">
        <v>50.400002000000001</v>
      </c>
      <c r="D79">
        <v>45.099997999999999</v>
      </c>
      <c r="E79">
        <v>46.169998</v>
      </c>
      <c r="F79">
        <v>17.947506000000001</v>
      </c>
      <c r="G79">
        <v>18448500</v>
      </c>
    </row>
    <row r="80" spans="1:7" x14ac:dyDescent="0.3">
      <c r="A80" s="1">
        <v>37073</v>
      </c>
      <c r="B80">
        <v>46.169998</v>
      </c>
      <c r="C80">
        <v>48.599997999999999</v>
      </c>
      <c r="D80">
        <v>41.5</v>
      </c>
      <c r="E80">
        <v>45</v>
      </c>
      <c r="F80">
        <v>17.492699000000002</v>
      </c>
      <c r="G80">
        <v>22179200</v>
      </c>
    </row>
    <row r="81" spans="1:7" x14ac:dyDescent="0.3">
      <c r="A81" s="1">
        <v>37104</v>
      </c>
      <c r="B81">
        <v>45</v>
      </c>
      <c r="C81">
        <v>46.900002000000001</v>
      </c>
      <c r="D81">
        <v>43.799999</v>
      </c>
      <c r="E81">
        <v>45.77</v>
      </c>
      <c r="F81">
        <v>17.792017000000001</v>
      </c>
      <c r="G81">
        <v>17671200</v>
      </c>
    </row>
    <row r="82" spans="1:7" x14ac:dyDescent="0.3">
      <c r="A82" s="1">
        <v>37135</v>
      </c>
      <c r="B82">
        <v>45.849997999999999</v>
      </c>
      <c r="C82">
        <v>48.900002000000001</v>
      </c>
      <c r="D82">
        <v>42.490001999999997</v>
      </c>
      <c r="E82">
        <v>43.23</v>
      </c>
      <c r="F82">
        <v>17.028959</v>
      </c>
      <c r="G82">
        <v>14987000</v>
      </c>
    </row>
    <row r="83" spans="1:7" x14ac:dyDescent="0.3">
      <c r="A83" s="1">
        <v>37165</v>
      </c>
      <c r="B83">
        <v>43.099997999999999</v>
      </c>
      <c r="C83">
        <v>46.950001</v>
      </c>
      <c r="D83">
        <v>41.82</v>
      </c>
      <c r="E83">
        <v>41.900002000000001</v>
      </c>
      <c r="F83">
        <v>16.505056</v>
      </c>
      <c r="G83">
        <v>20579300</v>
      </c>
    </row>
    <row r="84" spans="1:7" x14ac:dyDescent="0.3">
      <c r="A84" s="1">
        <v>37196</v>
      </c>
      <c r="B84">
        <v>42.200001</v>
      </c>
      <c r="C84">
        <v>44.84</v>
      </c>
      <c r="D84">
        <v>39.700001</v>
      </c>
      <c r="E84">
        <v>41.25</v>
      </c>
      <c r="F84">
        <v>16.249006000000001</v>
      </c>
      <c r="G84">
        <v>29105900</v>
      </c>
    </row>
    <row r="85" spans="1:7" x14ac:dyDescent="0.3">
      <c r="A85" s="1">
        <v>37226</v>
      </c>
      <c r="B85">
        <v>41.400002000000001</v>
      </c>
      <c r="C85">
        <v>44</v>
      </c>
      <c r="D85">
        <v>40.700001</v>
      </c>
      <c r="E85">
        <v>43.529998999999997</v>
      </c>
      <c r="F85">
        <v>17.383924</v>
      </c>
      <c r="G85">
        <v>23557900</v>
      </c>
    </row>
    <row r="86" spans="1:7" x14ac:dyDescent="0.3">
      <c r="A86" s="1">
        <v>37257</v>
      </c>
      <c r="B86">
        <v>43.299999</v>
      </c>
      <c r="C86">
        <v>44.610000999999997</v>
      </c>
      <c r="D86">
        <v>40.310001</v>
      </c>
      <c r="E86">
        <v>41.740001999999997</v>
      </c>
      <c r="F86">
        <v>16.669073000000001</v>
      </c>
      <c r="G86">
        <v>21166900</v>
      </c>
    </row>
    <row r="87" spans="1:7" x14ac:dyDescent="0.3">
      <c r="A87" s="1">
        <v>37288</v>
      </c>
      <c r="B87">
        <v>41.799999</v>
      </c>
      <c r="C87">
        <v>43.860000999999997</v>
      </c>
      <c r="D87">
        <v>39.700001</v>
      </c>
      <c r="E87">
        <v>43.849997999999999</v>
      </c>
      <c r="F87">
        <v>17.511709</v>
      </c>
      <c r="G87">
        <v>21695800</v>
      </c>
    </row>
    <row r="88" spans="1:7" x14ac:dyDescent="0.3">
      <c r="A88" s="1">
        <v>37316</v>
      </c>
      <c r="B88">
        <v>43.849997999999999</v>
      </c>
      <c r="C88">
        <v>47.080002</v>
      </c>
      <c r="D88">
        <v>43.669998</v>
      </c>
      <c r="E88">
        <v>46.09</v>
      </c>
      <c r="F88">
        <v>18.676953999999999</v>
      </c>
      <c r="G88">
        <v>18326400</v>
      </c>
    </row>
    <row r="89" spans="1:7" x14ac:dyDescent="0.3">
      <c r="A89" s="1">
        <v>37347</v>
      </c>
      <c r="B89">
        <v>46.09</v>
      </c>
      <c r="C89">
        <v>48.799999</v>
      </c>
      <c r="D89">
        <v>45.310001</v>
      </c>
      <c r="E89">
        <v>45.799999</v>
      </c>
      <c r="F89">
        <v>18.559436999999999</v>
      </c>
      <c r="G89">
        <v>21849000</v>
      </c>
    </row>
    <row r="90" spans="1:7" x14ac:dyDescent="0.3">
      <c r="A90" s="1">
        <v>37377</v>
      </c>
      <c r="B90">
        <v>45.84</v>
      </c>
      <c r="C90">
        <v>46.790000999999997</v>
      </c>
      <c r="D90">
        <v>41.849997999999999</v>
      </c>
      <c r="E90">
        <v>42.73</v>
      </c>
      <c r="F90">
        <v>17.315391999999999</v>
      </c>
      <c r="G90">
        <v>29703000</v>
      </c>
    </row>
    <row r="91" spans="1:7" x14ac:dyDescent="0.3">
      <c r="A91" s="1">
        <v>37408</v>
      </c>
      <c r="B91">
        <v>42.830002</v>
      </c>
      <c r="C91">
        <v>42.84</v>
      </c>
      <c r="D91">
        <v>39</v>
      </c>
      <c r="E91">
        <v>40.020000000000003</v>
      </c>
      <c r="F91">
        <v>16.429855</v>
      </c>
      <c r="G91">
        <v>50704100</v>
      </c>
    </row>
    <row r="92" spans="1:7" x14ac:dyDescent="0.3">
      <c r="A92" s="1">
        <v>37438</v>
      </c>
      <c r="B92">
        <v>40</v>
      </c>
      <c r="C92">
        <v>40.369999</v>
      </c>
      <c r="D92">
        <v>22.74</v>
      </c>
      <c r="E92">
        <v>32.909999999999997</v>
      </c>
      <c r="F92">
        <v>13.510916</v>
      </c>
      <c r="G92">
        <v>75790700</v>
      </c>
    </row>
    <row r="93" spans="1:7" x14ac:dyDescent="0.3">
      <c r="A93" s="1">
        <v>37469</v>
      </c>
      <c r="B93">
        <v>33</v>
      </c>
      <c r="C93">
        <v>36.790000999999997</v>
      </c>
      <c r="D93">
        <v>30.549999</v>
      </c>
      <c r="E93">
        <v>34.099997999999999</v>
      </c>
      <c r="F93">
        <v>13.999454</v>
      </c>
      <c r="G93">
        <v>41439300</v>
      </c>
    </row>
    <row r="94" spans="1:7" x14ac:dyDescent="0.3">
      <c r="A94" s="1">
        <v>37500</v>
      </c>
      <c r="B94">
        <v>33.25</v>
      </c>
      <c r="C94">
        <v>33.650002000000001</v>
      </c>
      <c r="D94">
        <v>25.559999000000001</v>
      </c>
      <c r="E94">
        <v>28.51</v>
      </c>
      <c r="F94">
        <v>11.926766000000001</v>
      </c>
      <c r="G94">
        <v>57624400</v>
      </c>
    </row>
    <row r="95" spans="1:7" x14ac:dyDescent="0.3">
      <c r="A95" s="1">
        <v>37530</v>
      </c>
      <c r="B95">
        <v>28.67</v>
      </c>
      <c r="C95">
        <v>30.35</v>
      </c>
      <c r="D95">
        <v>15.1</v>
      </c>
      <c r="E95">
        <v>25.639999</v>
      </c>
      <c r="F95">
        <v>10.726141999999999</v>
      </c>
      <c r="G95">
        <v>164394500</v>
      </c>
    </row>
    <row r="96" spans="1:7" x14ac:dyDescent="0.3">
      <c r="A96" s="1">
        <v>37561</v>
      </c>
      <c r="B96">
        <v>25.65</v>
      </c>
      <c r="C96">
        <v>30.549999</v>
      </c>
      <c r="D96">
        <v>24.450001</v>
      </c>
      <c r="E96">
        <v>28.42</v>
      </c>
      <c r="F96">
        <v>11.889119000000001</v>
      </c>
      <c r="G96">
        <v>51555700</v>
      </c>
    </row>
    <row r="97" spans="1:7" x14ac:dyDescent="0.3">
      <c r="A97" s="1">
        <v>37591</v>
      </c>
      <c r="B97">
        <v>28.219999000000001</v>
      </c>
      <c r="C97">
        <v>28.85</v>
      </c>
      <c r="D97">
        <v>25.17</v>
      </c>
      <c r="E97">
        <v>27.33</v>
      </c>
      <c r="F97">
        <v>11.683126</v>
      </c>
      <c r="G97">
        <v>45451300</v>
      </c>
    </row>
    <row r="98" spans="1:7" x14ac:dyDescent="0.3">
      <c r="A98" s="1">
        <v>37622</v>
      </c>
      <c r="B98">
        <v>27.58</v>
      </c>
      <c r="C98">
        <v>30.629999000000002</v>
      </c>
      <c r="D98">
        <v>23.110001</v>
      </c>
      <c r="E98">
        <v>23.620000999999998</v>
      </c>
      <c r="F98">
        <v>10.097162000000001</v>
      </c>
      <c r="G98">
        <v>77685300</v>
      </c>
    </row>
    <row r="99" spans="1:7" x14ac:dyDescent="0.3">
      <c r="A99" s="1">
        <v>37653</v>
      </c>
      <c r="B99">
        <v>23.620000999999998</v>
      </c>
      <c r="C99">
        <v>24.17</v>
      </c>
      <c r="D99">
        <v>19.010000000000002</v>
      </c>
      <c r="E99">
        <v>21.780000999999999</v>
      </c>
      <c r="F99">
        <v>9.3105899999999995</v>
      </c>
      <c r="G99">
        <v>81895000</v>
      </c>
    </row>
    <row r="100" spans="1:7" x14ac:dyDescent="0.3">
      <c r="A100" s="1">
        <v>37681</v>
      </c>
      <c r="B100">
        <v>21.950001</v>
      </c>
      <c r="C100">
        <v>23.25</v>
      </c>
      <c r="D100">
        <v>21.200001</v>
      </c>
      <c r="E100">
        <v>22.85</v>
      </c>
      <c r="F100">
        <v>10.033678</v>
      </c>
      <c r="G100">
        <v>46879100</v>
      </c>
    </row>
    <row r="101" spans="1:7" x14ac:dyDescent="0.3">
      <c r="A101" s="1">
        <v>37712</v>
      </c>
      <c r="B101">
        <v>23.1</v>
      </c>
      <c r="C101">
        <v>26.49</v>
      </c>
      <c r="D101">
        <v>22.559999000000001</v>
      </c>
      <c r="E101">
        <v>26.379999000000002</v>
      </c>
      <c r="F101">
        <v>11.583729999999999</v>
      </c>
      <c r="G101">
        <v>50141800</v>
      </c>
    </row>
    <row r="102" spans="1:7" x14ac:dyDescent="0.3">
      <c r="A102" s="1">
        <v>37742</v>
      </c>
      <c r="B102">
        <v>26.25</v>
      </c>
      <c r="C102">
        <v>29.299999</v>
      </c>
      <c r="D102">
        <v>25.08</v>
      </c>
      <c r="E102">
        <v>29.040001</v>
      </c>
      <c r="F102">
        <v>12.751763</v>
      </c>
      <c r="G102">
        <v>41314200</v>
      </c>
    </row>
    <row r="103" spans="1:7" x14ac:dyDescent="0.3">
      <c r="A103" s="1">
        <v>37773</v>
      </c>
      <c r="B103">
        <v>29.48</v>
      </c>
      <c r="C103">
        <v>31.51</v>
      </c>
      <c r="D103">
        <v>29.18</v>
      </c>
      <c r="E103">
        <v>29.83</v>
      </c>
      <c r="F103">
        <v>13.279163</v>
      </c>
      <c r="G103">
        <v>27824900</v>
      </c>
    </row>
    <row r="104" spans="1:7" x14ac:dyDescent="0.3">
      <c r="A104" s="1">
        <v>37803</v>
      </c>
      <c r="B104">
        <v>29.83</v>
      </c>
      <c r="C104">
        <v>29.9</v>
      </c>
      <c r="D104">
        <v>26.58</v>
      </c>
      <c r="E104">
        <v>28.059999000000001</v>
      </c>
      <c r="F104">
        <v>12.491224000000001</v>
      </c>
      <c r="G104">
        <v>30246900</v>
      </c>
    </row>
    <row r="105" spans="1:7" x14ac:dyDescent="0.3">
      <c r="A105" s="1">
        <v>37834</v>
      </c>
      <c r="B105">
        <v>28</v>
      </c>
      <c r="C105">
        <v>28.74</v>
      </c>
      <c r="D105">
        <v>27.08</v>
      </c>
      <c r="E105">
        <v>28.309999000000001</v>
      </c>
      <c r="F105">
        <v>12.602511</v>
      </c>
      <c r="G105">
        <v>24351800</v>
      </c>
    </row>
    <row r="106" spans="1:7" x14ac:dyDescent="0.3">
      <c r="A106" s="1">
        <v>37865</v>
      </c>
      <c r="B106">
        <v>28.25</v>
      </c>
      <c r="C106">
        <v>30</v>
      </c>
      <c r="D106">
        <v>28.02</v>
      </c>
      <c r="E106">
        <v>30</v>
      </c>
      <c r="F106">
        <v>13.526301999999999</v>
      </c>
      <c r="G106">
        <v>20838400</v>
      </c>
    </row>
    <row r="107" spans="1:7" x14ac:dyDescent="0.3">
      <c r="A107" s="1">
        <v>37895</v>
      </c>
      <c r="B107">
        <v>30</v>
      </c>
      <c r="C107">
        <v>30.43</v>
      </c>
      <c r="D107">
        <v>28.18</v>
      </c>
      <c r="E107">
        <v>28.190000999999999</v>
      </c>
      <c r="F107">
        <v>12.710217</v>
      </c>
      <c r="G107">
        <v>26678700</v>
      </c>
    </row>
    <row r="108" spans="1:7" x14ac:dyDescent="0.3">
      <c r="A108" s="1">
        <v>37926</v>
      </c>
      <c r="B108">
        <v>28.299999</v>
      </c>
      <c r="C108">
        <v>28.469999000000001</v>
      </c>
      <c r="D108">
        <v>26.690000999999999</v>
      </c>
      <c r="E108">
        <v>27.690000999999999</v>
      </c>
      <c r="F108">
        <v>12.484778</v>
      </c>
      <c r="G108">
        <v>25121100</v>
      </c>
    </row>
    <row r="109" spans="1:7" x14ac:dyDescent="0.3">
      <c r="A109" s="1">
        <v>37956</v>
      </c>
      <c r="B109">
        <v>27.700001</v>
      </c>
      <c r="C109">
        <v>30.59</v>
      </c>
      <c r="D109">
        <v>27.549999</v>
      </c>
      <c r="E109">
        <v>30.51</v>
      </c>
      <c r="F109">
        <v>13.931139999999999</v>
      </c>
      <c r="G109">
        <v>27990000</v>
      </c>
    </row>
    <row r="110" spans="1:7" x14ac:dyDescent="0.3">
      <c r="A110" s="1">
        <v>37987</v>
      </c>
      <c r="B110">
        <v>30.51</v>
      </c>
      <c r="C110">
        <v>33.220001000000003</v>
      </c>
      <c r="D110">
        <v>30.290001</v>
      </c>
      <c r="E110">
        <v>32.650002000000001</v>
      </c>
      <c r="F110">
        <v>14.908287</v>
      </c>
      <c r="G110">
        <v>24590400</v>
      </c>
    </row>
    <row r="111" spans="1:7" x14ac:dyDescent="0.3">
      <c r="A111" s="1">
        <v>38018</v>
      </c>
      <c r="B111">
        <v>32.419998</v>
      </c>
      <c r="C111">
        <v>34.529998999999997</v>
      </c>
      <c r="D111">
        <v>32.349997999999999</v>
      </c>
      <c r="E111">
        <v>34.5</v>
      </c>
      <c r="F111">
        <v>15.753007999999999</v>
      </c>
      <c r="G111">
        <v>24876700</v>
      </c>
    </row>
    <row r="112" spans="1:7" x14ac:dyDescent="0.3">
      <c r="A112" s="1">
        <v>38047</v>
      </c>
      <c r="B112">
        <v>34.5</v>
      </c>
      <c r="C112">
        <v>35.099997999999999</v>
      </c>
      <c r="D112">
        <v>32.599997999999999</v>
      </c>
      <c r="E112">
        <v>32.919998</v>
      </c>
      <c r="F112">
        <v>15.191957</v>
      </c>
      <c r="G112">
        <v>26935600</v>
      </c>
    </row>
    <row r="113" spans="1:7" x14ac:dyDescent="0.3">
      <c r="A113" s="1">
        <v>38078</v>
      </c>
      <c r="B113">
        <v>33.580002</v>
      </c>
      <c r="C113">
        <v>33.580002</v>
      </c>
      <c r="D113">
        <v>29.92</v>
      </c>
      <c r="E113">
        <v>30.440000999999999</v>
      </c>
      <c r="F113">
        <v>14.047487</v>
      </c>
      <c r="G113">
        <v>31380900</v>
      </c>
    </row>
    <row r="114" spans="1:7" x14ac:dyDescent="0.3">
      <c r="A114" s="1">
        <v>38108</v>
      </c>
      <c r="B114">
        <v>30.42</v>
      </c>
      <c r="C114">
        <v>31.870000999999998</v>
      </c>
      <c r="D114">
        <v>28.5</v>
      </c>
      <c r="E114">
        <v>31.77</v>
      </c>
      <c r="F114">
        <v>14.66126</v>
      </c>
      <c r="G114">
        <v>26287000</v>
      </c>
    </row>
    <row r="115" spans="1:7" x14ac:dyDescent="0.3">
      <c r="A115" s="1">
        <v>38139</v>
      </c>
      <c r="B115">
        <v>31.780000999999999</v>
      </c>
      <c r="C115">
        <v>32.799999</v>
      </c>
      <c r="D115">
        <v>30.870000999999998</v>
      </c>
      <c r="E115">
        <v>32</v>
      </c>
      <c r="F115">
        <v>14.936419000000001</v>
      </c>
      <c r="G115">
        <v>21841500</v>
      </c>
    </row>
    <row r="116" spans="1:7" x14ac:dyDescent="0.3">
      <c r="A116" s="1">
        <v>38169</v>
      </c>
      <c r="B116">
        <v>31.879999000000002</v>
      </c>
      <c r="C116">
        <v>32.159999999999997</v>
      </c>
      <c r="D116">
        <v>30.27</v>
      </c>
      <c r="E116">
        <v>31.110001</v>
      </c>
      <c r="F116">
        <v>14.521000000000001</v>
      </c>
      <c r="G116">
        <v>20356000</v>
      </c>
    </row>
    <row r="117" spans="1:7" x14ac:dyDescent="0.3">
      <c r="A117" s="1">
        <v>38200</v>
      </c>
      <c r="B117">
        <v>31.129999000000002</v>
      </c>
      <c r="C117">
        <v>32.729999999999997</v>
      </c>
      <c r="D117">
        <v>31.030000999999999</v>
      </c>
      <c r="E117">
        <v>32.729999999999997</v>
      </c>
      <c r="F117">
        <v>15.277157000000001</v>
      </c>
      <c r="G117">
        <v>21641300</v>
      </c>
    </row>
    <row r="118" spans="1:7" x14ac:dyDescent="0.3">
      <c r="A118" s="1">
        <v>38231</v>
      </c>
      <c r="B118">
        <v>32.669998</v>
      </c>
      <c r="C118">
        <v>33.209999000000003</v>
      </c>
      <c r="D118">
        <v>31.67</v>
      </c>
      <c r="E118">
        <v>31.959999</v>
      </c>
      <c r="F118">
        <v>15.082765999999999</v>
      </c>
      <c r="G118">
        <v>20757800</v>
      </c>
    </row>
    <row r="119" spans="1:7" x14ac:dyDescent="0.3">
      <c r="A119" s="1">
        <v>38261</v>
      </c>
      <c r="B119">
        <v>31.969999000000001</v>
      </c>
      <c r="C119">
        <v>33.299999</v>
      </c>
      <c r="D119">
        <v>31.25</v>
      </c>
      <c r="E119">
        <v>32.93</v>
      </c>
      <c r="F119">
        <v>15.540532000000001</v>
      </c>
      <c r="G119">
        <v>25401700</v>
      </c>
    </row>
    <row r="120" spans="1:7" x14ac:dyDescent="0.3">
      <c r="A120" s="1">
        <v>38292</v>
      </c>
      <c r="B120">
        <v>33.009998000000003</v>
      </c>
      <c r="C120">
        <v>35.529998999999997</v>
      </c>
      <c r="D120">
        <v>32.349997999999999</v>
      </c>
      <c r="E120">
        <v>34.169998</v>
      </c>
      <c r="F120">
        <v>16.125724999999999</v>
      </c>
      <c r="G120">
        <v>27170700</v>
      </c>
    </row>
    <row r="121" spans="1:7" x14ac:dyDescent="0.3">
      <c r="A121" s="1">
        <v>38322</v>
      </c>
      <c r="B121">
        <v>34.169998</v>
      </c>
      <c r="C121">
        <v>35.259998000000003</v>
      </c>
      <c r="D121">
        <v>33.599997999999999</v>
      </c>
      <c r="E121">
        <v>34.340000000000003</v>
      </c>
      <c r="F121">
        <v>16.372727999999999</v>
      </c>
      <c r="G121">
        <v>30043100</v>
      </c>
    </row>
    <row r="122" spans="1:7" x14ac:dyDescent="0.3">
      <c r="A122" s="1">
        <v>38353</v>
      </c>
      <c r="B122">
        <v>34.209999000000003</v>
      </c>
      <c r="C122">
        <v>35.5</v>
      </c>
      <c r="D122">
        <v>33.200001</v>
      </c>
      <c r="E122">
        <v>35.25</v>
      </c>
      <c r="F122">
        <v>16.806601000000001</v>
      </c>
      <c r="G122">
        <v>32559900</v>
      </c>
    </row>
    <row r="123" spans="1:7" x14ac:dyDescent="0.3">
      <c r="A123" s="1">
        <v>38384</v>
      </c>
      <c r="B123">
        <v>35.330002</v>
      </c>
      <c r="C123">
        <v>35.869999</v>
      </c>
      <c r="D123">
        <v>32.25</v>
      </c>
      <c r="E123">
        <v>33.400002000000001</v>
      </c>
      <c r="F123">
        <v>15.924557</v>
      </c>
      <c r="G123">
        <v>29670700</v>
      </c>
    </row>
    <row r="124" spans="1:7" x14ac:dyDescent="0.3">
      <c r="A124" s="1">
        <v>38412</v>
      </c>
      <c r="B124">
        <v>33.400002000000001</v>
      </c>
      <c r="C124">
        <v>34.779998999999997</v>
      </c>
      <c r="D124">
        <v>32.409999999999997</v>
      </c>
      <c r="E124">
        <v>34.060001</v>
      </c>
      <c r="F124">
        <v>16.401765999999999</v>
      </c>
      <c r="G124">
        <v>38080200</v>
      </c>
    </row>
    <row r="125" spans="1:7" x14ac:dyDescent="0.3">
      <c r="A125" s="1">
        <v>38443</v>
      </c>
      <c r="B125">
        <v>34.380001</v>
      </c>
      <c r="C125">
        <v>35.549999</v>
      </c>
      <c r="D125">
        <v>33.790000999999997</v>
      </c>
      <c r="E125">
        <v>35.220001000000003</v>
      </c>
      <c r="F125">
        <v>16.960364999999999</v>
      </c>
      <c r="G125">
        <v>33869700</v>
      </c>
    </row>
    <row r="126" spans="1:7" x14ac:dyDescent="0.3">
      <c r="A126" s="1">
        <v>38473</v>
      </c>
      <c r="B126">
        <v>35.229999999999997</v>
      </c>
      <c r="C126">
        <v>35.849997999999999</v>
      </c>
      <c r="D126">
        <v>34.090000000000003</v>
      </c>
      <c r="E126">
        <v>35.689999</v>
      </c>
      <c r="F126">
        <v>17.186699000000001</v>
      </c>
      <c r="G126">
        <v>30253200</v>
      </c>
    </row>
    <row r="127" spans="1:7" x14ac:dyDescent="0.3">
      <c r="A127" s="1">
        <v>38504</v>
      </c>
      <c r="B127">
        <v>35.709999000000003</v>
      </c>
      <c r="C127">
        <v>37</v>
      </c>
      <c r="D127">
        <v>35.330002</v>
      </c>
      <c r="E127">
        <v>36.869999</v>
      </c>
      <c r="F127">
        <v>17.931622999999998</v>
      </c>
      <c r="G127">
        <v>25822000</v>
      </c>
    </row>
    <row r="128" spans="1:7" x14ac:dyDescent="0.3">
      <c r="A128" s="1">
        <v>38534</v>
      </c>
      <c r="B128">
        <v>36.970001000000003</v>
      </c>
      <c r="C128">
        <v>39.340000000000003</v>
      </c>
      <c r="D128">
        <v>36.340000000000003</v>
      </c>
      <c r="E128">
        <v>38.700001</v>
      </c>
      <c r="F128">
        <v>18.821639999999999</v>
      </c>
      <c r="G128">
        <v>29758200</v>
      </c>
    </row>
    <row r="129" spans="1:7" x14ac:dyDescent="0.3">
      <c r="A129" s="1">
        <v>38565</v>
      </c>
      <c r="B129">
        <v>38.659999999999997</v>
      </c>
      <c r="C129">
        <v>39.169998</v>
      </c>
      <c r="D129">
        <v>36.369999</v>
      </c>
      <c r="E129">
        <v>37.18</v>
      </c>
      <c r="F129">
        <v>18.082386</v>
      </c>
      <c r="G129">
        <v>37105400</v>
      </c>
    </row>
    <row r="130" spans="1:7" x14ac:dyDescent="0.3">
      <c r="A130" s="1">
        <v>38596</v>
      </c>
      <c r="B130">
        <v>37.270000000000003</v>
      </c>
      <c r="C130">
        <v>39.840000000000003</v>
      </c>
      <c r="D130">
        <v>37.080002</v>
      </c>
      <c r="E130">
        <v>39.700001</v>
      </c>
      <c r="F130">
        <v>19.486668000000002</v>
      </c>
      <c r="G130">
        <v>47037700</v>
      </c>
    </row>
    <row r="131" spans="1:7" x14ac:dyDescent="0.3">
      <c r="A131" s="1">
        <v>38626</v>
      </c>
      <c r="B131">
        <v>39.759998000000003</v>
      </c>
      <c r="C131">
        <v>40.799999</v>
      </c>
      <c r="D131">
        <v>35.599997999999999</v>
      </c>
      <c r="E131">
        <v>37.959999000000003</v>
      </c>
      <c r="F131">
        <v>18.632593</v>
      </c>
      <c r="G131">
        <v>37899800</v>
      </c>
    </row>
    <row r="132" spans="1:7" x14ac:dyDescent="0.3">
      <c r="A132" s="1">
        <v>38657</v>
      </c>
      <c r="B132">
        <v>37.959999000000003</v>
      </c>
      <c r="C132">
        <v>37.959999000000003</v>
      </c>
      <c r="D132">
        <v>35.57</v>
      </c>
      <c r="E132">
        <v>36.540000999999997</v>
      </c>
      <c r="F132">
        <v>17.935585</v>
      </c>
      <c r="G132">
        <v>35831500</v>
      </c>
    </row>
    <row r="133" spans="1:7" x14ac:dyDescent="0.3">
      <c r="A133" s="1">
        <v>38687</v>
      </c>
      <c r="B133">
        <v>36.659999999999997</v>
      </c>
      <c r="C133">
        <v>37.959999000000003</v>
      </c>
      <c r="D133">
        <v>36.159999999999997</v>
      </c>
      <c r="E133">
        <v>37.090000000000003</v>
      </c>
      <c r="F133">
        <v>18.389446</v>
      </c>
      <c r="G133">
        <v>28765000</v>
      </c>
    </row>
    <row r="134" spans="1:7" x14ac:dyDescent="0.3">
      <c r="A134" s="1">
        <v>38718</v>
      </c>
      <c r="B134">
        <v>37.270000000000003</v>
      </c>
      <c r="C134">
        <v>38.479999999999997</v>
      </c>
      <c r="D134">
        <v>36.650002000000001</v>
      </c>
      <c r="E134">
        <v>37.32</v>
      </c>
      <c r="F134">
        <v>18.503488999999998</v>
      </c>
      <c r="G134">
        <v>27627300</v>
      </c>
    </row>
    <row r="135" spans="1:7" x14ac:dyDescent="0.3">
      <c r="A135" s="1">
        <v>38749</v>
      </c>
      <c r="B135">
        <v>37.32</v>
      </c>
      <c r="C135">
        <v>37.349997999999999</v>
      </c>
      <c r="D135">
        <v>35.479999999999997</v>
      </c>
      <c r="E135">
        <v>36.5</v>
      </c>
      <c r="F135">
        <v>18.096920000000001</v>
      </c>
      <c r="G135">
        <v>27047800</v>
      </c>
    </row>
    <row r="136" spans="1:7" x14ac:dyDescent="0.3">
      <c r="A136" s="1">
        <v>38777</v>
      </c>
      <c r="B136">
        <v>36.650002000000001</v>
      </c>
      <c r="C136">
        <v>36.650002000000001</v>
      </c>
      <c r="D136">
        <v>33.959999000000003</v>
      </c>
      <c r="E136">
        <v>34.020000000000003</v>
      </c>
      <c r="F136">
        <v>17.042431000000001</v>
      </c>
      <c r="G136">
        <v>36951500</v>
      </c>
    </row>
    <row r="137" spans="1:7" x14ac:dyDescent="0.3">
      <c r="A137" s="1">
        <v>38808</v>
      </c>
      <c r="B137">
        <v>34.020000000000003</v>
      </c>
      <c r="C137">
        <v>34.700001</v>
      </c>
      <c r="D137">
        <v>32.560001</v>
      </c>
      <c r="E137">
        <v>33.459999000000003</v>
      </c>
      <c r="F137">
        <v>16.761894000000002</v>
      </c>
      <c r="G137">
        <v>39836600</v>
      </c>
    </row>
    <row r="138" spans="1:7" x14ac:dyDescent="0.3">
      <c r="A138" s="1">
        <v>38838</v>
      </c>
      <c r="B138">
        <v>33.490001999999997</v>
      </c>
      <c r="C138">
        <v>34.459999000000003</v>
      </c>
      <c r="D138">
        <v>32.270000000000003</v>
      </c>
      <c r="E138">
        <v>34.270000000000003</v>
      </c>
      <c r="F138">
        <v>17.167674999999999</v>
      </c>
      <c r="G138">
        <v>57503700</v>
      </c>
    </row>
    <row r="139" spans="1:7" x14ac:dyDescent="0.3">
      <c r="A139" s="1">
        <v>38869</v>
      </c>
      <c r="B139">
        <v>34.400002000000001</v>
      </c>
      <c r="C139">
        <v>35.189999</v>
      </c>
      <c r="D139">
        <v>33.509998000000003</v>
      </c>
      <c r="E139">
        <v>34.25</v>
      </c>
      <c r="F139">
        <v>17.346927999999998</v>
      </c>
      <c r="G139">
        <v>41928100</v>
      </c>
    </row>
    <row r="140" spans="1:7" x14ac:dyDescent="0.3">
      <c r="A140" s="1">
        <v>38899</v>
      </c>
      <c r="B140">
        <v>34.25</v>
      </c>
      <c r="C140">
        <v>36.479999999999997</v>
      </c>
      <c r="D140">
        <v>34.099997999999999</v>
      </c>
      <c r="E140">
        <v>36.119999</v>
      </c>
      <c r="F140">
        <v>18.294039000000001</v>
      </c>
      <c r="G140">
        <v>34268600</v>
      </c>
    </row>
    <row r="141" spans="1:7" x14ac:dyDescent="0.3">
      <c r="A141" s="1">
        <v>38930</v>
      </c>
      <c r="B141">
        <v>36.119999</v>
      </c>
      <c r="C141">
        <v>37.299999</v>
      </c>
      <c r="D141">
        <v>35.840000000000003</v>
      </c>
      <c r="E141">
        <v>36.479999999999997</v>
      </c>
      <c r="F141">
        <v>18.476382999999998</v>
      </c>
      <c r="G141">
        <v>33204700</v>
      </c>
    </row>
    <row r="142" spans="1:7" x14ac:dyDescent="0.3">
      <c r="A142" s="1">
        <v>38961</v>
      </c>
      <c r="B142">
        <v>36.650002000000001</v>
      </c>
      <c r="C142">
        <v>37.020000000000003</v>
      </c>
      <c r="D142">
        <v>35.639999000000003</v>
      </c>
      <c r="E142">
        <v>36.369999</v>
      </c>
      <c r="F142">
        <v>18.608989999999999</v>
      </c>
      <c r="G142">
        <v>32784800</v>
      </c>
    </row>
    <row r="143" spans="1:7" x14ac:dyDescent="0.3">
      <c r="A143" s="1">
        <v>38991</v>
      </c>
      <c r="B143">
        <v>36.549999</v>
      </c>
      <c r="C143">
        <v>41.849997999999999</v>
      </c>
      <c r="D143">
        <v>36.490001999999997</v>
      </c>
      <c r="E143">
        <v>41.43</v>
      </c>
      <c r="F143">
        <v>21.197980999999999</v>
      </c>
      <c r="G143">
        <v>59014300</v>
      </c>
    </row>
    <row r="144" spans="1:7" x14ac:dyDescent="0.3">
      <c r="A144" s="1">
        <v>39022</v>
      </c>
      <c r="B144">
        <v>41.650002000000001</v>
      </c>
      <c r="C144">
        <v>41.98</v>
      </c>
      <c r="D144">
        <v>40.68</v>
      </c>
      <c r="E144">
        <v>41.509998000000003</v>
      </c>
      <c r="F144">
        <v>21.238916</v>
      </c>
      <c r="G144">
        <v>37105200</v>
      </c>
    </row>
    <row r="145" spans="1:7" x14ac:dyDescent="0.3">
      <c r="A145" s="1">
        <v>39052</v>
      </c>
      <c r="B145">
        <v>41.610000999999997</v>
      </c>
      <c r="C145">
        <v>43.130001</v>
      </c>
      <c r="D145">
        <v>41.540000999999997</v>
      </c>
      <c r="E145">
        <v>42.580002</v>
      </c>
      <c r="F145">
        <v>21.994092999999999</v>
      </c>
      <c r="G145">
        <v>25379600</v>
      </c>
    </row>
    <row r="146" spans="1:7" x14ac:dyDescent="0.3">
      <c r="A146" s="1">
        <v>39083</v>
      </c>
      <c r="B146">
        <v>42.490001999999997</v>
      </c>
      <c r="C146">
        <v>43.900002000000001</v>
      </c>
      <c r="D146">
        <v>41.689999</v>
      </c>
      <c r="E146">
        <v>43.529998999999997</v>
      </c>
      <c r="F146">
        <v>22.484794999999998</v>
      </c>
      <c r="G146">
        <v>39113000</v>
      </c>
    </row>
    <row r="147" spans="1:7" x14ac:dyDescent="0.3">
      <c r="A147" s="1">
        <v>39114</v>
      </c>
      <c r="B147">
        <v>43.630001</v>
      </c>
      <c r="C147">
        <v>46.759998000000003</v>
      </c>
      <c r="D147">
        <v>43.48</v>
      </c>
      <c r="E147">
        <v>44.900002000000001</v>
      </c>
      <c r="F147">
        <v>23.192450999999998</v>
      </c>
      <c r="G147">
        <v>40654200</v>
      </c>
    </row>
    <row r="148" spans="1:7" x14ac:dyDescent="0.3">
      <c r="A148" s="1">
        <v>39142</v>
      </c>
      <c r="B148">
        <v>44.25</v>
      </c>
      <c r="C148">
        <v>49.470001000000003</v>
      </c>
      <c r="D148">
        <v>44.029998999999997</v>
      </c>
      <c r="E148">
        <v>48.75</v>
      </c>
      <c r="F148">
        <v>25.400995000000002</v>
      </c>
      <c r="G148">
        <v>50460500</v>
      </c>
    </row>
    <row r="149" spans="1:7" x14ac:dyDescent="0.3">
      <c r="A149" s="1">
        <v>39173</v>
      </c>
      <c r="B149">
        <v>48.740001999999997</v>
      </c>
      <c r="C149">
        <v>51.240001999999997</v>
      </c>
      <c r="D149">
        <v>48.080002</v>
      </c>
      <c r="E149">
        <v>50.220001000000003</v>
      </c>
      <c r="F149">
        <v>26.166948000000001</v>
      </c>
      <c r="G149">
        <v>52097400</v>
      </c>
    </row>
    <row r="150" spans="1:7" x14ac:dyDescent="0.3">
      <c r="A150" s="1">
        <v>39203</v>
      </c>
      <c r="B150">
        <v>50</v>
      </c>
      <c r="C150">
        <v>51</v>
      </c>
      <c r="D150">
        <v>46.740001999999997</v>
      </c>
      <c r="E150">
        <v>47.630001</v>
      </c>
      <c r="F150">
        <v>24.817432</v>
      </c>
      <c r="G150">
        <v>54081200</v>
      </c>
    </row>
    <row r="151" spans="1:7" x14ac:dyDescent="0.3">
      <c r="A151" s="1">
        <v>39234</v>
      </c>
      <c r="B151">
        <v>47.630001</v>
      </c>
      <c r="C151">
        <v>47.990001999999997</v>
      </c>
      <c r="D151">
        <v>43.389999000000003</v>
      </c>
      <c r="E151">
        <v>45.040000999999997</v>
      </c>
      <c r="F151">
        <v>23.650473000000002</v>
      </c>
      <c r="G151">
        <v>54709000</v>
      </c>
    </row>
    <row r="152" spans="1:7" x14ac:dyDescent="0.3">
      <c r="A152" s="1">
        <v>39264</v>
      </c>
      <c r="B152">
        <v>45.459999000000003</v>
      </c>
      <c r="C152">
        <v>47.560001</v>
      </c>
      <c r="D152">
        <v>42.75</v>
      </c>
      <c r="E152">
        <v>43.490001999999997</v>
      </c>
      <c r="F152">
        <v>22.836563000000002</v>
      </c>
      <c r="G152">
        <v>56485000</v>
      </c>
    </row>
    <row r="153" spans="1:7" x14ac:dyDescent="0.3">
      <c r="A153" s="1">
        <v>39295</v>
      </c>
      <c r="B153">
        <v>43.5</v>
      </c>
      <c r="C153">
        <v>48.830002</v>
      </c>
      <c r="D153">
        <v>42.459999000000003</v>
      </c>
      <c r="E153">
        <v>44.48</v>
      </c>
      <c r="F153">
        <v>23.356407000000001</v>
      </c>
      <c r="G153">
        <v>67867300</v>
      </c>
    </row>
    <row r="154" spans="1:7" x14ac:dyDescent="0.3">
      <c r="A154" s="1">
        <v>39326</v>
      </c>
      <c r="B154">
        <v>44.110000999999997</v>
      </c>
      <c r="C154">
        <v>46.970001000000003</v>
      </c>
      <c r="D154">
        <v>44.060001</v>
      </c>
      <c r="E154">
        <v>46.080002</v>
      </c>
      <c r="F154">
        <v>24.395864</v>
      </c>
      <c r="G154">
        <v>33499400</v>
      </c>
    </row>
    <row r="155" spans="1:7" x14ac:dyDescent="0.3">
      <c r="A155" s="1">
        <v>39356</v>
      </c>
      <c r="B155">
        <v>46.630001</v>
      </c>
      <c r="C155">
        <v>48.700001</v>
      </c>
      <c r="D155">
        <v>45.049999</v>
      </c>
      <c r="E155">
        <v>48.209999000000003</v>
      </c>
      <c r="F155">
        <v>25.523537000000001</v>
      </c>
      <c r="G155">
        <v>43818200</v>
      </c>
    </row>
    <row r="156" spans="1:7" x14ac:dyDescent="0.3">
      <c r="A156" s="1">
        <v>39387</v>
      </c>
      <c r="B156">
        <v>47.889999000000003</v>
      </c>
      <c r="C156">
        <v>48.23</v>
      </c>
      <c r="D156">
        <v>45.360000999999997</v>
      </c>
      <c r="E156">
        <v>47.669998</v>
      </c>
      <c r="F156">
        <v>25.237653999999999</v>
      </c>
      <c r="G156">
        <v>43321400</v>
      </c>
    </row>
    <row r="157" spans="1:7" x14ac:dyDescent="0.3">
      <c r="A157" s="1">
        <v>39417</v>
      </c>
      <c r="B157">
        <v>47.450001</v>
      </c>
      <c r="C157">
        <v>49.490001999999997</v>
      </c>
      <c r="D157">
        <v>46.32</v>
      </c>
      <c r="E157">
        <v>46.560001</v>
      </c>
      <c r="F157">
        <v>24.863298</v>
      </c>
      <c r="G157">
        <v>33300700</v>
      </c>
    </row>
    <row r="158" spans="1:7" x14ac:dyDescent="0.3">
      <c r="A158" s="1">
        <v>39448</v>
      </c>
      <c r="B158">
        <v>46.310001</v>
      </c>
      <c r="C158">
        <v>49.110000999999997</v>
      </c>
      <c r="D158">
        <v>40.68</v>
      </c>
      <c r="E158">
        <v>42.73</v>
      </c>
      <c r="F158">
        <v>22.818045000000001</v>
      </c>
      <c r="G158">
        <v>77637700</v>
      </c>
    </row>
    <row r="159" spans="1:7" x14ac:dyDescent="0.3">
      <c r="A159" s="1">
        <v>39479</v>
      </c>
      <c r="B159">
        <v>42.82</v>
      </c>
      <c r="C159">
        <v>45.080002</v>
      </c>
      <c r="D159">
        <v>40.75</v>
      </c>
      <c r="E159">
        <v>40.919998</v>
      </c>
      <c r="F159">
        <v>21.851488</v>
      </c>
      <c r="G159">
        <v>72581100</v>
      </c>
    </row>
    <row r="160" spans="1:7" x14ac:dyDescent="0.3">
      <c r="A160" s="1">
        <v>39508</v>
      </c>
      <c r="B160">
        <v>41.060001</v>
      </c>
      <c r="C160">
        <v>42.5</v>
      </c>
      <c r="D160">
        <v>39.349997999999999</v>
      </c>
      <c r="E160">
        <v>41.630001</v>
      </c>
      <c r="F160">
        <v>22.442612</v>
      </c>
      <c r="G160">
        <v>53739900</v>
      </c>
    </row>
    <row r="161" spans="1:7" x14ac:dyDescent="0.3">
      <c r="A161" s="1">
        <v>39539</v>
      </c>
      <c r="B161">
        <v>41.619999</v>
      </c>
      <c r="C161">
        <v>45.950001</v>
      </c>
      <c r="D161">
        <v>41.619999</v>
      </c>
      <c r="E161">
        <v>44.630001</v>
      </c>
      <c r="F161">
        <v>24.059898</v>
      </c>
      <c r="G161">
        <v>68726500</v>
      </c>
    </row>
    <row r="162" spans="1:7" x14ac:dyDescent="0.3">
      <c r="A162" s="1">
        <v>39569</v>
      </c>
      <c r="B162">
        <v>44.66</v>
      </c>
      <c r="C162">
        <v>45.43</v>
      </c>
      <c r="D162">
        <v>42.009998000000003</v>
      </c>
      <c r="E162">
        <v>42.330002</v>
      </c>
      <c r="F162">
        <v>22.819974999999999</v>
      </c>
      <c r="G162">
        <v>59367500</v>
      </c>
    </row>
    <row r="163" spans="1:7" x14ac:dyDescent="0.3">
      <c r="A163" s="1">
        <v>39600</v>
      </c>
      <c r="B163">
        <v>42.34</v>
      </c>
      <c r="C163">
        <v>43.740001999999997</v>
      </c>
      <c r="D163">
        <v>39.459999000000003</v>
      </c>
      <c r="E163">
        <v>40.229999999999997</v>
      </c>
      <c r="F163">
        <v>21.890377000000001</v>
      </c>
      <c r="G163">
        <v>49995200</v>
      </c>
    </row>
    <row r="164" spans="1:7" x14ac:dyDescent="0.3">
      <c r="A164" s="1">
        <v>39630</v>
      </c>
      <c r="B164">
        <v>39.919998</v>
      </c>
      <c r="C164">
        <v>41.27</v>
      </c>
      <c r="D164">
        <v>38.189999</v>
      </c>
      <c r="E164">
        <v>39.5</v>
      </c>
      <c r="F164">
        <v>21.493165999999999</v>
      </c>
      <c r="G164">
        <v>58479600</v>
      </c>
    </row>
    <row r="165" spans="1:7" x14ac:dyDescent="0.3">
      <c r="A165" s="1">
        <v>39661</v>
      </c>
      <c r="B165">
        <v>39.68</v>
      </c>
      <c r="C165">
        <v>40.099997999999999</v>
      </c>
      <c r="D165">
        <v>37.709999000000003</v>
      </c>
      <c r="E165">
        <v>39.040000999999997</v>
      </c>
      <c r="F165">
        <v>21.242868000000001</v>
      </c>
      <c r="G165">
        <v>43816400</v>
      </c>
    </row>
    <row r="166" spans="1:7" x14ac:dyDescent="0.3">
      <c r="A166" s="1">
        <v>39692</v>
      </c>
      <c r="B166">
        <v>39.549999</v>
      </c>
      <c r="C166">
        <v>41.599997999999999</v>
      </c>
      <c r="D166">
        <v>34.860000999999997</v>
      </c>
      <c r="E166">
        <v>37.029998999999997</v>
      </c>
      <c r="F166">
        <v>20.357877999999999</v>
      </c>
      <c r="G166">
        <v>62050900</v>
      </c>
    </row>
    <row r="167" spans="1:7" x14ac:dyDescent="0.3">
      <c r="A167" s="1">
        <v>39722</v>
      </c>
      <c r="B167">
        <v>36.75</v>
      </c>
      <c r="C167">
        <v>37.279998999999997</v>
      </c>
      <c r="D167">
        <v>25.540001</v>
      </c>
      <c r="E167">
        <v>32.630001</v>
      </c>
      <c r="F167">
        <v>17.93891</v>
      </c>
      <c r="G167">
        <v>92801000</v>
      </c>
    </row>
    <row r="168" spans="1:7" x14ac:dyDescent="0.3">
      <c r="A168" s="1">
        <v>39753</v>
      </c>
      <c r="B168">
        <v>32.610000999999997</v>
      </c>
      <c r="C168">
        <v>33.380001</v>
      </c>
      <c r="D168">
        <v>27.24</v>
      </c>
      <c r="E168">
        <v>31.290001</v>
      </c>
      <c r="F168">
        <v>17.202221000000002</v>
      </c>
      <c r="G168">
        <v>70924600</v>
      </c>
    </row>
    <row r="169" spans="1:7" x14ac:dyDescent="0.3">
      <c r="A169" s="1">
        <v>39783</v>
      </c>
      <c r="B169">
        <v>30.530000999999999</v>
      </c>
      <c r="C169">
        <v>33.369999</v>
      </c>
      <c r="D169">
        <v>28</v>
      </c>
      <c r="E169">
        <v>33.279998999999997</v>
      </c>
      <c r="F169">
        <v>18.535540000000001</v>
      </c>
      <c r="G169">
        <v>78026700</v>
      </c>
    </row>
    <row r="170" spans="1:7" x14ac:dyDescent="0.3">
      <c r="A170" s="1">
        <v>39814</v>
      </c>
      <c r="B170">
        <v>33.490001999999997</v>
      </c>
      <c r="C170">
        <v>34.340000000000003</v>
      </c>
      <c r="D170">
        <v>30.879999000000002</v>
      </c>
      <c r="E170">
        <v>31.35</v>
      </c>
      <c r="F170">
        <v>17.460611</v>
      </c>
      <c r="G170">
        <v>64246200</v>
      </c>
    </row>
    <row r="171" spans="1:7" x14ac:dyDescent="0.3">
      <c r="A171" s="1">
        <v>39845</v>
      </c>
      <c r="B171">
        <v>31.040001</v>
      </c>
      <c r="C171">
        <v>33.889999000000003</v>
      </c>
      <c r="D171">
        <v>27.700001</v>
      </c>
      <c r="E171">
        <v>28.049999</v>
      </c>
      <c r="F171">
        <v>15.62265</v>
      </c>
      <c r="G171">
        <v>56477800</v>
      </c>
    </row>
    <row r="172" spans="1:7" x14ac:dyDescent="0.3">
      <c r="A172" s="1">
        <v>39873</v>
      </c>
      <c r="B172">
        <v>27.629999000000002</v>
      </c>
      <c r="C172">
        <v>28.5</v>
      </c>
      <c r="D172">
        <v>24</v>
      </c>
      <c r="E172">
        <v>25.26</v>
      </c>
      <c r="F172">
        <v>14.242373000000001</v>
      </c>
      <c r="G172">
        <v>112338000</v>
      </c>
    </row>
    <row r="173" spans="1:7" x14ac:dyDescent="0.3">
      <c r="A173" s="1">
        <v>39904</v>
      </c>
      <c r="B173">
        <v>25.030000999999999</v>
      </c>
      <c r="C173">
        <v>27.41</v>
      </c>
      <c r="D173">
        <v>24.75</v>
      </c>
      <c r="E173">
        <v>26.379999000000002</v>
      </c>
      <c r="F173">
        <v>14.873867000000001</v>
      </c>
      <c r="G173">
        <v>186407500</v>
      </c>
    </row>
    <row r="174" spans="1:7" x14ac:dyDescent="0.3">
      <c r="A174" s="1">
        <v>39934</v>
      </c>
      <c r="B174">
        <v>26.49</v>
      </c>
      <c r="C174">
        <v>27.190000999999999</v>
      </c>
      <c r="D174">
        <v>24.75</v>
      </c>
      <c r="E174">
        <v>26.34</v>
      </c>
      <c r="F174">
        <v>14.851309000000001</v>
      </c>
      <c r="G174">
        <v>96857000</v>
      </c>
    </row>
    <row r="175" spans="1:7" x14ac:dyDescent="0.3">
      <c r="A175" s="1">
        <v>39965</v>
      </c>
      <c r="B175">
        <v>26.58</v>
      </c>
      <c r="C175">
        <v>29.16</v>
      </c>
      <c r="D175">
        <v>26</v>
      </c>
      <c r="E175">
        <v>28.889999</v>
      </c>
      <c r="F175">
        <v>16.543023999999999</v>
      </c>
      <c r="G175">
        <v>109363200</v>
      </c>
    </row>
    <row r="176" spans="1:7" x14ac:dyDescent="0.3">
      <c r="A176" s="1">
        <v>39995</v>
      </c>
      <c r="B176">
        <v>29.1</v>
      </c>
      <c r="C176">
        <v>32.360000999999997</v>
      </c>
      <c r="D176">
        <v>28.07</v>
      </c>
      <c r="E176">
        <v>30.959999</v>
      </c>
      <c r="F176">
        <v>17.728342000000001</v>
      </c>
      <c r="G176">
        <v>92745500</v>
      </c>
    </row>
    <row r="177" spans="1:7" x14ac:dyDescent="0.3">
      <c r="A177" s="1">
        <v>40026</v>
      </c>
      <c r="B177">
        <v>31.299999</v>
      </c>
      <c r="C177">
        <v>31.879999000000002</v>
      </c>
      <c r="D177">
        <v>30.27</v>
      </c>
      <c r="E177">
        <v>31.43</v>
      </c>
      <c r="F177">
        <v>17.997478000000001</v>
      </c>
      <c r="G177">
        <v>62000200</v>
      </c>
    </row>
    <row r="178" spans="1:7" x14ac:dyDescent="0.3">
      <c r="A178" s="1">
        <v>40057</v>
      </c>
      <c r="B178">
        <v>31.389999</v>
      </c>
      <c r="C178">
        <v>32.130001</v>
      </c>
      <c r="D178">
        <v>30.469999000000001</v>
      </c>
      <c r="E178">
        <v>30.99</v>
      </c>
      <c r="F178">
        <v>17.984848</v>
      </c>
      <c r="G178">
        <v>76545400</v>
      </c>
    </row>
    <row r="179" spans="1:7" x14ac:dyDescent="0.3">
      <c r="A179" s="1">
        <v>40087</v>
      </c>
      <c r="B179">
        <v>31.24</v>
      </c>
      <c r="C179">
        <v>31.870000999999998</v>
      </c>
      <c r="D179">
        <v>29.59</v>
      </c>
      <c r="E179">
        <v>30.219999000000001</v>
      </c>
      <c r="F179">
        <v>17.537989</v>
      </c>
      <c r="G179">
        <v>97278100</v>
      </c>
    </row>
    <row r="180" spans="1:7" x14ac:dyDescent="0.3">
      <c r="A180" s="1">
        <v>40118</v>
      </c>
      <c r="B180">
        <v>30.23</v>
      </c>
      <c r="C180">
        <v>32.310001</v>
      </c>
      <c r="D180">
        <v>30.23</v>
      </c>
      <c r="E180">
        <v>32.189999</v>
      </c>
      <c r="F180">
        <v>18.681266999999998</v>
      </c>
      <c r="G180">
        <v>87223500</v>
      </c>
    </row>
    <row r="181" spans="1:7" x14ac:dyDescent="0.3">
      <c r="A181" s="1">
        <v>40148</v>
      </c>
      <c r="B181">
        <v>32.270000000000003</v>
      </c>
      <c r="C181">
        <v>36.509998000000003</v>
      </c>
      <c r="D181">
        <v>32.25</v>
      </c>
      <c r="E181">
        <v>34.790000999999997</v>
      </c>
      <c r="F181">
        <v>20.457885999999998</v>
      </c>
      <c r="G181">
        <v>87182000</v>
      </c>
    </row>
    <row r="182" spans="1:7" x14ac:dyDescent="0.3">
      <c r="A182" s="1">
        <v>40179</v>
      </c>
      <c r="B182">
        <v>35.099997999999999</v>
      </c>
      <c r="C182">
        <v>36.860000999999997</v>
      </c>
      <c r="D182">
        <v>34.360000999999997</v>
      </c>
      <c r="E182">
        <v>34.650002000000001</v>
      </c>
      <c r="F182">
        <v>20.375565000000002</v>
      </c>
      <c r="G182">
        <v>73160500</v>
      </c>
    </row>
    <row r="183" spans="1:7" x14ac:dyDescent="0.3">
      <c r="A183" s="1">
        <v>40210</v>
      </c>
      <c r="B183">
        <v>34.810001</v>
      </c>
      <c r="C183">
        <v>35.110000999999997</v>
      </c>
      <c r="D183">
        <v>32.68</v>
      </c>
      <c r="E183">
        <v>33.619999</v>
      </c>
      <c r="F183">
        <v>19.769874999999999</v>
      </c>
      <c r="G183">
        <v>64824600</v>
      </c>
    </row>
    <row r="184" spans="1:7" x14ac:dyDescent="0.3">
      <c r="A184" s="1">
        <v>40238</v>
      </c>
      <c r="B184">
        <v>33.720001000000003</v>
      </c>
      <c r="C184">
        <v>34.970001000000003</v>
      </c>
      <c r="D184">
        <v>33.68</v>
      </c>
      <c r="E184">
        <v>34.18</v>
      </c>
      <c r="F184">
        <v>20.347166000000001</v>
      </c>
      <c r="G184">
        <v>57714100</v>
      </c>
    </row>
    <row r="185" spans="1:7" x14ac:dyDescent="0.3">
      <c r="A185" s="1">
        <v>40269</v>
      </c>
      <c r="B185">
        <v>34.299999</v>
      </c>
      <c r="C185">
        <v>35</v>
      </c>
      <c r="D185">
        <v>33.220001000000003</v>
      </c>
      <c r="E185">
        <v>34.299999</v>
      </c>
      <c r="F185">
        <v>20.418603999999998</v>
      </c>
      <c r="G185">
        <v>75971000</v>
      </c>
    </row>
    <row r="186" spans="1:7" x14ac:dyDescent="0.3">
      <c r="A186" s="1">
        <v>40299</v>
      </c>
      <c r="B186">
        <v>34.400002000000001</v>
      </c>
      <c r="C186">
        <v>34.729999999999997</v>
      </c>
      <c r="D186">
        <v>28.26</v>
      </c>
      <c r="E186">
        <v>31.959999</v>
      </c>
      <c r="F186">
        <v>19.025614000000001</v>
      </c>
      <c r="G186">
        <v>97845300</v>
      </c>
    </row>
    <row r="187" spans="1:7" x14ac:dyDescent="0.3">
      <c r="A187" s="1">
        <v>40330</v>
      </c>
      <c r="B187">
        <v>31.66</v>
      </c>
      <c r="C187">
        <v>34.389999000000003</v>
      </c>
      <c r="D187">
        <v>31</v>
      </c>
      <c r="E187">
        <v>32.299999</v>
      </c>
      <c r="F187">
        <v>19.473103999999999</v>
      </c>
      <c r="G187">
        <v>88476300</v>
      </c>
    </row>
    <row r="188" spans="1:7" x14ac:dyDescent="0.3">
      <c r="A188" s="1">
        <v>40360</v>
      </c>
      <c r="B188">
        <v>32.419998</v>
      </c>
      <c r="C188">
        <v>36.82</v>
      </c>
      <c r="D188">
        <v>31.870000999999998</v>
      </c>
      <c r="E188">
        <v>35.979999999999997</v>
      </c>
      <c r="F188">
        <v>21.69171</v>
      </c>
      <c r="G188">
        <v>86269000</v>
      </c>
    </row>
    <row r="189" spans="1:7" x14ac:dyDescent="0.3">
      <c r="A189" s="1">
        <v>40391</v>
      </c>
      <c r="B189">
        <v>36.200001</v>
      </c>
      <c r="C189">
        <v>36.470001000000003</v>
      </c>
      <c r="D189">
        <v>34.5</v>
      </c>
      <c r="E189">
        <v>35.409999999999997</v>
      </c>
      <c r="F189">
        <v>21.348065999999999</v>
      </c>
      <c r="G189">
        <v>76753700</v>
      </c>
    </row>
    <row r="190" spans="1:7" x14ac:dyDescent="0.3">
      <c r="A190" s="1">
        <v>40422</v>
      </c>
      <c r="B190">
        <v>35.740001999999997</v>
      </c>
      <c r="C190">
        <v>36.93</v>
      </c>
      <c r="D190">
        <v>35.57</v>
      </c>
      <c r="E190">
        <v>36.229999999999997</v>
      </c>
      <c r="F190">
        <v>22.097332000000002</v>
      </c>
      <c r="G190">
        <v>60082600</v>
      </c>
    </row>
    <row r="191" spans="1:7" x14ac:dyDescent="0.3">
      <c r="A191" s="1">
        <v>40452</v>
      </c>
      <c r="B191">
        <v>36.400002000000001</v>
      </c>
      <c r="C191">
        <v>37.549999</v>
      </c>
      <c r="D191">
        <v>35.68</v>
      </c>
      <c r="E191">
        <v>37.439999</v>
      </c>
      <c r="F191">
        <v>22.835331</v>
      </c>
      <c r="G191">
        <v>65861700</v>
      </c>
    </row>
    <row r="192" spans="1:7" x14ac:dyDescent="0.3">
      <c r="A192" s="1">
        <v>40483</v>
      </c>
      <c r="B192">
        <v>37.580002</v>
      </c>
      <c r="C192">
        <v>37.939999</v>
      </c>
      <c r="D192">
        <v>35.360000999999997</v>
      </c>
      <c r="E192">
        <v>35.599997999999999</v>
      </c>
      <c r="F192">
        <v>21.713085</v>
      </c>
      <c r="G192">
        <v>56104000</v>
      </c>
    </row>
    <row r="193" spans="1:7" x14ac:dyDescent="0.3">
      <c r="A193" s="1">
        <v>40513</v>
      </c>
      <c r="B193">
        <v>35.950001</v>
      </c>
      <c r="C193">
        <v>36.470001000000003</v>
      </c>
      <c r="D193">
        <v>34.919998</v>
      </c>
      <c r="E193">
        <v>35.979999999999997</v>
      </c>
      <c r="F193">
        <v>22.215919</v>
      </c>
      <c r="G193">
        <v>54196500</v>
      </c>
    </row>
    <row r="194" spans="1:7" x14ac:dyDescent="0.3">
      <c r="A194" s="1">
        <v>40544</v>
      </c>
      <c r="B194">
        <v>36.270000000000003</v>
      </c>
      <c r="C194">
        <v>36.919998</v>
      </c>
      <c r="D194">
        <v>35.189999</v>
      </c>
      <c r="E194">
        <v>35.68</v>
      </c>
      <c r="F194">
        <v>22.030684999999998</v>
      </c>
      <c r="G194">
        <v>64772600</v>
      </c>
    </row>
    <row r="195" spans="1:7" x14ac:dyDescent="0.3">
      <c r="A195" s="1">
        <v>40575</v>
      </c>
      <c r="B195">
        <v>35.939999</v>
      </c>
      <c r="C195">
        <v>36.07</v>
      </c>
      <c r="D195">
        <v>34.959999000000003</v>
      </c>
      <c r="E195">
        <v>35.779998999999997</v>
      </c>
      <c r="F195">
        <v>22.092428000000002</v>
      </c>
      <c r="G195">
        <v>50515000</v>
      </c>
    </row>
    <row r="196" spans="1:7" x14ac:dyDescent="0.3">
      <c r="A196" s="1">
        <v>40603</v>
      </c>
      <c r="B196">
        <v>35.880001</v>
      </c>
      <c r="C196">
        <v>36.369999</v>
      </c>
      <c r="D196">
        <v>33.470001000000003</v>
      </c>
      <c r="E196">
        <v>35.139999000000003</v>
      </c>
      <c r="F196">
        <v>21.977781</v>
      </c>
      <c r="G196">
        <v>90494800</v>
      </c>
    </row>
    <row r="197" spans="1:7" x14ac:dyDescent="0.3">
      <c r="A197" s="1">
        <v>40634</v>
      </c>
      <c r="B197">
        <v>35.220001000000003</v>
      </c>
      <c r="C197">
        <v>36.560001</v>
      </c>
      <c r="D197">
        <v>34.369999</v>
      </c>
      <c r="E197">
        <v>36.479999999999997</v>
      </c>
      <c r="F197">
        <v>22.815863</v>
      </c>
      <c r="G197">
        <v>57228400</v>
      </c>
    </row>
    <row r="198" spans="1:7" x14ac:dyDescent="0.3">
      <c r="A198" s="1">
        <v>40664</v>
      </c>
      <c r="B198">
        <v>36.599997999999999</v>
      </c>
      <c r="C198">
        <v>38.990001999999997</v>
      </c>
      <c r="D198">
        <v>36.07</v>
      </c>
      <c r="E198">
        <v>38.200001</v>
      </c>
      <c r="F198">
        <v>23.891604999999998</v>
      </c>
      <c r="G198">
        <v>93097500</v>
      </c>
    </row>
    <row r="199" spans="1:7" x14ac:dyDescent="0.3">
      <c r="A199" s="1">
        <v>40695</v>
      </c>
      <c r="B199">
        <v>38.220001000000003</v>
      </c>
      <c r="C199">
        <v>38.340000000000003</v>
      </c>
      <c r="D199">
        <v>36.840000000000003</v>
      </c>
      <c r="E199">
        <v>37.68</v>
      </c>
      <c r="F199">
        <v>23.865843000000002</v>
      </c>
      <c r="G199">
        <v>69106400</v>
      </c>
    </row>
    <row r="200" spans="1:7" x14ac:dyDescent="0.3">
      <c r="A200" s="1">
        <v>40725</v>
      </c>
      <c r="B200">
        <v>37.779998999999997</v>
      </c>
      <c r="C200">
        <v>38.979999999999997</v>
      </c>
      <c r="D200">
        <v>36.659999999999997</v>
      </c>
      <c r="E200">
        <v>36.860000999999997</v>
      </c>
      <c r="F200">
        <v>23.346468000000002</v>
      </c>
      <c r="G200">
        <v>78555400</v>
      </c>
    </row>
    <row r="201" spans="1:7" x14ac:dyDescent="0.3">
      <c r="A201" s="1">
        <v>40756</v>
      </c>
      <c r="B201">
        <v>37.740001999999997</v>
      </c>
      <c r="C201">
        <v>38.810001</v>
      </c>
      <c r="D201">
        <v>33.090000000000003</v>
      </c>
      <c r="E201">
        <v>38.630001</v>
      </c>
      <c r="F201">
        <v>24.467558</v>
      </c>
      <c r="G201">
        <v>123927800</v>
      </c>
    </row>
    <row r="202" spans="1:7" x14ac:dyDescent="0.3">
      <c r="A202" s="1">
        <v>40787</v>
      </c>
      <c r="B202">
        <v>38.599997999999999</v>
      </c>
      <c r="C202">
        <v>38.900002000000001</v>
      </c>
      <c r="D202">
        <v>36.540000999999997</v>
      </c>
      <c r="E202">
        <v>38.020000000000003</v>
      </c>
      <c r="F202">
        <v>24.390795000000001</v>
      </c>
      <c r="G202">
        <v>96652600</v>
      </c>
    </row>
    <row r="203" spans="1:7" x14ac:dyDescent="0.3">
      <c r="A203" s="1">
        <v>40817</v>
      </c>
      <c r="B203">
        <v>38</v>
      </c>
      <c r="C203">
        <v>40</v>
      </c>
      <c r="D203">
        <v>35.849997999999999</v>
      </c>
      <c r="E203">
        <v>39.279998999999997</v>
      </c>
      <c r="F203">
        <v>25.199116</v>
      </c>
      <c r="G203">
        <v>73485100</v>
      </c>
    </row>
    <row r="204" spans="1:7" x14ac:dyDescent="0.3">
      <c r="A204" s="1">
        <v>40848</v>
      </c>
      <c r="B204">
        <v>38.700001</v>
      </c>
      <c r="C204">
        <v>40.080002</v>
      </c>
      <c r="D204">
        <v>37</v>
      </c>
      <c r="E204">
        <v>39.68</v>
      </c>
      <c r="F204">
        <v>25.455721</v>
      </c>
      <c r="G204">
        <v>82895600</v>
      </c>
    </row>
    <row r="205" spans="1:7" x14ac:dyDescent="0.3">
      <c r="A205" s="1">
        <v>40878</v>
      </c>
      <c r="B205">
        <v>39.5</v>
      </c>
      <c r="C205">
        <v>41.709999000000003</v>
      </c>
      <c r="D205">
        <v>38.43</v>
      </c>
      <c r="E205">
        <v>41.310001</v>
      </c>
      <c r="F205">
        <v>26.818434</v>
      </c>
      <c r="G205">
        <v>68592800</v>
      </c>
    </row>
    <row r="206" spans="1:7" x14ac:dyDescent="0.3">
      <c r="A206" s="1">
        <v>40909</v>
      </c>
      <c r="B206">
        <v>41.959999000000003</v>
      </c>
      <c r="C206">
        <v>41.98</v>
      </c>
      <c r="D206">
        <v>39.240001999999997</v>
      </c>
      <c r="E206">
        <v>39.560001</v>
      </c>
      <c r="F206">
        <v>25.682324999999999</v>
      </c>
      <c r="G206">
        <v>105684800</v>
      </c>
    </row>
    <row r="207" spans="1:7" x14ac:dyDescent="0.3">
      <c r="A207" s="1">
        <v>40940</v>
      </c>
      <c r="B207">
        <v>39.75</v>
      </c>
      <c r="C207">
        <v>40.200001</v>
      </c>
      <c r="D207">
        <v>37.479999999999997</v>
      </c>
      <c r="E207">
        <v>37.610000999999997</v>
      </c>
      <c r="F207">
        <v>24.416385999999999</v>
      </c>
      <c r="G207">
        <v>109268500</v>
      </c>
    </row>
    <row r="208" spans="1:7" x14ac:dyDescent="0.3">
      <c r="A208" s="1">
        <v>40969</v>
      </c>
      <c r="B208">
        <v>37.759998000000003</v>
      </c>
      <c r="C208">
        <v>39.220001000000003</v>
      </c>
      <c r="D208">
        <v>37.459999000000003</v>
      </c>
      <c r="E208">
        <v>38.580002</v>
      </c>
      <c r="F208">
        <v>25.344819999999999</v>
      </c>
      <c r="G208">
        <v>85074800</v>
      </c>
    </row>
    <row r="209" spans="1:7" x14ac:dyDescent="0.3">
      <c r="A209" s="1">
        <v>41000</v>
      </c>
      <c r="B209">
        <v>38.619999</v>
      </c>
      <c r="C209">
        <v>38.950001</v>
      </c>
      <c r="D209">
        <v>36.970001000000003</v>
      </c>
      <c r="E209">
        <v>38.840000000000003</v>
      </c>
      <c r="F209">
        <v>25.515613999999999</v>
      </c>
      <c r="G209">
        <v>100725000</v>
      </c>
    </row>
    <row r="210" spans="1:7" x14ac:dyDescent="0.3">
      <c r="A210" s="1">
        <v>41030</v>
      </c>
      <c r="B210">
        <v>38.909999999999997</v>
      </c>
      <c r="C210">
        <v>39.07</v>
      </c>
      <c r="D210">
        <v>37.43</v>
      </c>
      <c r="E210">
        <v>38.509998000000003</v>
      </c>
      <c r="F210">
        <v>25.298824</v>
      </c>
      <c r="G210">
        <v>67372400</v>
      </c>
    </row>
    <row r="211" spans="1:7" x14ac:dyDescent="0.3">
      <c r="A211" s="1">
        <v>41061</v>
      </c>
      <c r="B211">
        <v>38.18</v>
      </c>
      <c r="C211">
        <v>40.459999000000003</v>
      </c>
      <c r="D211">
        <v>38.18</v>
      </c>
      <c r="E211">
        <v>39.900002000000001</v>
      </c>
      <c r="F211">
        <v>26.535740000000001</v>
      </c>
      <c r="G211">
        <v>61642400</v>
      </c>
    </row>
    <row r="212" spans="1:7" x14ac:dyDescent="0.3">
      <c r="A212" s="1">
        <v>41091</v>
      </c>
      <c r="B212">
        <v>39.919998</v>
      </c>
      <c r="C212">
        <v>42.709999000000003</v>
      </c>
      <c r="D212">
        <v>39.619999</v>
      </c>
      <c r="E212">
        <v>42.240001999999997</v>
      </c>
      <c r="F212">
        <v>28.091982000000002</v>
      </c>
      <c r="G212">
        <v>60985100</v>
      </c>
    </row>
    <row r="213" spans="1:7" x14ac:dyDescent="0.3">
      <c r="A213" s="1">
        <v>41122</v>
      </c>
      <c r="B213">
        <v>42.380001</v>
      </c>
      <c r="C213">
        <v>43.959999000000003</v>
      </c>
      <c r="D213">
        <v>41.52</v>
      </c>
      <c r="E213">
        <v>42.990001999999997</v>
      </c>
      <c r="F213">
        <v>28.590769000000002</v>
      </c>
      <c r="G213">
        <v>67090700</v>
      </c>
    </row>
    <row r="214" spans="1:7" x14ac:dyDescent="0.3">
      <c r="A214" s="1">
        <v>41153</v>
      </c>
      <c r="B214">
        <v>43</v>
      </c>
      <c r="C214">
        <v>44.84</v>
      </c>
      <c r="D214">
        <v>42.830002</v>
      </c>
      <c r="E214">
        <v>43.939999</v>
      </c>
      <c r="F214">
        <v>29.552502</v>
      </c>
      <c r="G214">
        <v>40772000</v>
      </c>
    </row>
    <row r="215" spans="1:7" x14ac:dyDescent="0.3">
      <c r="A215" s="1">
        <v>41183</v>
      </c>
      <c r="B215">
        <v>44.07</v>
      </c>
      <c r="C215">
        <v>45.41</v>
      </c>
      <c r="D215">
        <v>43.68</v>
      </c>
      <c r="E215">
        <v>44.439999</v>
      </c>
      <c r="F215">
        <v>29.888783</v>
      </c>
      <c r="G215">
        <v>47942500</v>
      </c>
    </row>
    <row r="216" spans="1:7" x14ac:dyDescent="0.3">
      <c r="A216" s="1">
        <v>41214</v>
      </c>
      <c r="B216">
        <v>44.57</v>
      </c>
      <c r="C216">
        <v>44.639999000000003</v>
      </c>
      <c r="D216">
        <v>40.560001</v>
      </c>
      <c r="E216">
        <v>42.650002000000001</v>
      </c>
      <c r="F216">
        <v>28.684891</v>
      </c>
      <c r="G216">
        <v>53920600</v>
      </c>
    </row>
    <row r="217" spans="1:7" x14ac:dyDescent="0.3">
      <c r="A217" s="1">
        <v>41244</v>
      </c>
      <c r="B217">
        <v>42.650002000000001</v>
      </c>
      <c r="C217">
        <v>44.099997999999999</v>
      </c>
      <c r="D217">
        <v>41.919998</v>
      </c>
      <c r="E217">
        <v>42.68</v>
      </c>
      <c r="F217">
        <v>29.019915000000001</v>
      </c>
      <c r="G217">
        <v>46910800</v>
      </c>
    </row>
    <row r="218" spans="1:7" x14ac:dyDescent="0.3">
      <c r="A218" s="1">
        <v>41275</v>
      </c>
      <c r="B218">
        <v>43.169998</v>
      </c>
      <c r="C218">
        <v>45.34</v>
      </c>
      <c r="D218">
        <v>42.919998</v>
      </c>
      <c r="E218">
        <v>45.290000999999997</v>
      </c>
      <c r="F218">
        <v>30.794564999999999</v>
      </c>
      <c r="G218">
        <v>67739200</v>
      </c>
    </row>
    <row r="219" spans="1:7" x14ac:dyDescent="0.3">
      <c r="A219" s="1">
        <v>41306</v>
      </c>
      <c r="B219">
        <v>45.48</v>
      </c>
      <c r="C219">
        <v>47.029998999999997</v>
      </c>
      <c r="D219">
        <v>44.23</v>
      </c>
      <c r="E219">
        <v>46.790000999999997</v>
      </c>
      <c r="F219">
        <v>31.814478000000001</v>
      </c>
      <c r="G219">
        <v>52035600</v>
      </c>
    </row>
    <row r="220" spans="1:7" x14ac:dyDescent="0.3">
      <c r="A220" s="1">
        <v>41334</v>
      </c>
      <c r="B220">
        <v>46.619999</v>
      </c>
      <c r="C220">
        <v>48.68</v>
      </c>
      <c r="D220">
        <v>46.360000999999997</v>
      </c>
      <c r="E220">
        <v>48.630001</v>
      </c>
      <c r="F220">
        <v>33.415740999999997</v>
      </c>
      <c r="G220">
        <v>44097600</v>
      </c>
    </row>
    <row r="221" spans="1:7" x14ac:dyDescent="0.3">
      <c r="A221" s="1">
        <v>41365</v>
      </c>
      <c r="B221">
        <v>48.549999</v>
      </c>
      <c r="C221">
        <v>51.5</v>
      </c>
      <c r="D221">
        <v>47.939999</v>
      </c>
      <c r="E221">
        <v>51.43</v>
      </c>
      <c r="F221">
        <v>35.339745000000001</v>
      </c>
      <c r="G221">
        <v>66612000</v>
      </c>
    </row>
    <row r="222" spans="1:7" x14ac:dyDescent="0.3">
      <c r="A222" s="1">
        <v>41395</v>
      </c>
      <c r="B222">
        <v>51.48</v>
      </c>
      <c r="C222">
        <v>51.599997999999999</v>
      </c>
      <c r="D222">
        <v>45.57</v>
      </c>
      <c r="E222">
        <v>45.82</v>
      </c>
      <c r="F222">
        <v>31.484874999999999</v>
      </c>
      <c r="G222">
        <v>64436000</v>
      </c>
    </row>
    <row r="223" spans="1:7" x14ac:dyDescent="0.3">
      <c r="A223" s="1">
        <v>41426</v>
      </c>
      <c r="B223">
        <v>45.799999</v>
      </c>
      <c r="C223">
        <v>46.490001999999997</v>
      </c>
      <c r="D223">
        <v>42.830002</v>
      </c>
      <c r="E223">
        <v>44.779998999999997</v>
      </c>
      <c r="F223">
        <v>31.068339999999999</v>
      </c>
      <c r="G223">
        <v>74820400</v>
      </c>
    </row>
    <row r="224" spans="1:7" x14ac:dyDescent="0.3">
      <c r="A224" s="1">
        <v>41456</v>
      </c>
      <c r="B224">
        <v>44.98</v>
      </c>
      <c r="C224">
        <v>47.59</v>
      </c>
      <c r="D224">
        <v>43.75</v>
      </c>
      <c r="E224">
        <v>46.349997999999999</v>
      </c>
      <c r="F224">
        <v>32.157603999999999</v>
      </c>
      <c r="G224">
        <v>88733700</v>
      </c>
    </row>
    <row r="225" spans="1:7" x14ac:dyDescent="0.3">
      <c r="A225" s="1">
        <v>41487</v>
      </c>
      <c r="B225">
        <v>46.48</v>
      </c>
      <c r="C225">
        <v>46.650002000000001</v>
      </c>
      <c r="D225">
        <v>42.259998000000003</v>
      </c>
      <c r="E225">
        <v>42.799999</v>
      </c>
      <c r="F225">
        <v>29.694626</v>
      </c>
      <c r="G225">
        <v>60392800</v>
      </c>
    </row>
    <row r="226" spans="1:7" x14ac:dyDescent="0.3">
      <c r="A226" s="1">
        <v>41518</v>
      </c>
      <c r="B226">
        <v>43.029998999999997</v>
      </c>
      <c r="C226">
        <v>45.119999</v>
      </c>
      <c r="D226">
        <v>41.830002</v>
      </c>
      <c r="E226">
        <v>43.349997999999999</v>
      </c>
      <c r="F226">
        <v>30.401530999999999</v>
      </c>
      <c r="G226">
        <v>61348100</v>
      </c>
    </row>
    <row r="227" spans="1:7" x14ac:dyDescent="0.3">
      <c r="A227" s="1">
        <v>41548</v>
      </c>
      <c r="B227">
        <v>43.52</v>
      </c>
      <c r="C227">
        <v>47.59</v>
      </c>
      <c r="D227">
        <v>43.009998000000003</v>
      </c>
      <c r="E227">
        <v>46.84</v>
      </c>
      <c r="F227">
        <v>32.849079000000003</v>
      </c>
      <c r="G227">
        <v>90024600</v>
      </c>
    </row>
    <row r="228" spans="1:7" x14ac:dyDescent="0.3">
      <c r="A228" s="1">
        <v>41579</v>
      </c>
      <c r="B228">
        <v>47</v>
      </c>
      <c r="C228">
        <v>48.400002000000001</v>
      </c>
      <c r="D228">
        <v>45.349997999999999</v>
      </c>
      <c r="E228">
        <v>47.060001</v>
      </c>
      <c r="F228">
        <v>33.003360999999998</v>
      </c>
      <c r="G228">
        <v>75269600</v>
      </c>
    </row>
    <row r="229" spans="1:7" x14ac:dyDescent="0.3">
      <c r="A229" s="1">
        <v>41609</v>
      </c>
      <c r="B229">
        <v>47.209999000000003</v>
      </c>
      <c r="C229">
        <v>47.209999000000003</v>
      </c>
      <c r="D229">
        <v>45.240001999999997</v>
      </c>
      <c r="E229">
        <v>46.740001999999997</v>
      </c>
      <c r="F229">
        <v>33.134708000000003</v>
      </c>
      <c r="G229">
        <v>61250000</v>
      </c>
    </row>
    <row r="230" spans="1:7" x14ac:dyDescent="0.3">
      <c r="A230" s="1">
        <v>41640</v>
      </c>
      <c r="B230">
        <v>46.98</v>
      </c>
      <c r="C230">
        <v>48.98</v>
      </c>
      <c r="D230">
        <v>45.799999</v>
      </c>
      <c r="E230">
        <v>48.810001</v>
      </c>
      <c r="F230">
        <v>34.602158000000003</v>
      </c>
      <c r="G230">
        <v>54229000</v>
      </c>
    </row>
    <row r="231" spans="1:7" x14ac:dyDescent="0.3">
      <c r="A231" s="1">
        <v>41671</v>
      </c>
      <c r="B231">
        <v>48.93</v>
      </c>
      <c r="C231">
        <v>50.889999000000003</v>
      </c>
      <c r="D231">
        <v>47.23</v>
      </c>
      <c r="E231">
        <v>50.200001</v>
      </c>
      <c r="F231">
        <v>35.587539999999997</v>
      </c>
      <c r="G231">
        <v>56354900</v>
      </c>
    </row>
    <row r="232" spans="1:7" x14ac:dyDescent="0.3">
      <c r="A232" s="1">
        <v>41699</v>
      </c>
      <c r="B232">
        <v>49.970001000000003</v>
      </c>
      <c r="C232">
        <v>50.950001</v>
      </c>
      <c r="D232">
        <v>48.310001</v>
      </c>
      <c r="E232">
        <v>50.66</v>
      </c>
      <c r="F232">
        <v>36.292095000000003</v>
      </c>
      <c r="G232">
        <v>63568700</v>
      </c>
    </row>
    <row r="233" spans="1:7" x14ac:dyDescent="0.3">
      <c r="A233" s="1">
        <v>41730</v>
      </c>
      <c r="B233">
        <v>50.77</v>
      </c>
      <c r="C233">
        <v>54.639999000000003</v>
      </c>
      <c r="D233">
        <v>49.990001999999997</v>
      </c>
      <c r="E233">
        <v>53.810001</v>
      </c>
      <c r="F233">
        <v>38.548717000000003</v>
      </c>
      <c r="G233">
        <v>68040000</v>
      </c>
    </row>
    <row r="234" spans="1:7" x14ac:dyDescent="0.3">
      <c r="A234" s="1">
        <v>41760</v>
      </c>
      <c r="B234">
        <v>53.990001999999997</v>
      </c>
      <c r="C234">
        <v>54.060001</v>
      </c>
      <c r="D234">
        <v>50.82</v>
      </c>
      <c r="E234">
        <v>53.349997999999999</v>
      </c>
      <c r="F234">
        <v>38.219158</v>
      </c>
      <c r="G234">
        <v>65093400</v>
      </c>
    </row>
    <row r="235" spans="1:7" x14ac:dyDescent="0.3">
      <c r="A235" s="1">
        <v>41791</v>
      </c>
      <c r="B235">
        <v>53.200001</v>
      </c>
      <c r="C235">
        <v>55.939999</v>
      </c>
      <c r="D235">
        <v>51.599997999999999</v>
      </c>
      <c r="E235">
        <v>55.77</v>
      </c>
      <c r="F235">
        <v>40.334408000000003</v>
      </c>
      <c r="G235">
        <v>52291000</v>
      </c>
    </row>
    <row r="236" spans="1:7" x14ac:dyDescent="0.3">
      <c r="A236" s="1">
        <v>41821</v>
      </c>
      <c r="B236">
        <v>55.830002</v>
      </c>
      <c r="C236">
        <v>55.91</v>
      </c>
      <c r="D236">
        <v>51.959999000000003</v>
      </c>
      <c r="E236">
        <v>51.990001999999997</v>
      </c>
      <c r="F236">
        <v>37.600613000000003</v>
      </c>
      <c r="G236">
        <v>51559700</v>
      </c>
    </row>
    <row r="237" spans="1:7" x14ac:dyDescent="0.3">
      <c r="A237" s="1">
        <v>41852</v>
      </c>
      <c r="B237">
        <v>52</v>
      </c>
      <c r="C237">
        <v>53.709999000000003</v>
      </c>
      <c r="D237">
        <v>49.060001</v>
      </c>
      <c r="E237">
        <v>53.700001</v>
      </c>
      <c r="F237">
        <v>38.837330000000001</v>
      </c>
      <c r="G237">
        <v>54722100</v>
      </c>
    </row>
    <row r="238" spans="1:7" x14ac:dyDescent="0.3">
      <c r="A238" s="1">
        <v>41883</v>
      </c>
      <c r="B238">
        <v>53.66</v>
      </c>
      <c r="C238">
        <v>53.880001</v>
      </c>
      <c r="D238">
        <v>51.580002</v>
      </c>
      <c r="E238">
        <v>52.209999000000003</v>
      </c>
      <c r="F238">
        <v>38.134765999999999</v>
      </c>
      <c r="G238">
        <v>42284400</v>
      </c>
    </row>
    <row r="239" spans="1:7" x14ac:dyDescent="0.3">
      <c r="A239" s="1">
        <v>41913</v>
      </c>
      <c r="B239">
        <v>52.34</v>
      </c>
      <c r="C239">
        <v>58.610000999999997</v>
      </c>
      <c r="D239">
        <v>51.970001000000003</v>
      </c>
      <c r="E239">
        <v>58.34</v>
      </c>
      <c r="F239">
        <v>42.612186000000001</v>
      </c>
      <c r="G239">
        <v>69545600</v>
      </c>
    </row>
    <row r="240" spans="1:7" x14ac:dyDescent="0.3">
      <c r="A240" s="1">
        <v>41944</v>
      </c>
      <c r="B240">
        <v>58.41</v>
      </c>
      <c r="C240">
        <v>59.84</v>
      </c>
      <c r="D240">
        <v>55.900002000000001</v>
      </c>
      <c r="E240">
        <v>57.549999</v>
      </c>
      <c r="F240">
        <v>42.035164000000002</v>
      </c>
      <c r="G240">
        <v>48663300</v>
      </c>
    </row>
    <row r="241" spans="1:7" x14ac:dyDescent="0.3">
      <c r="A241" s="1">
        <v>41974</v>
      </c>
      <c r="B241">
        <v>57.310001</v>
      </c>
      <c r="C241">
        <v>63.220001000000003</v>
      </c>
      <c r="D241">
        <v>56.970001000000003</v>
      </c>
      <c r="E241">
        <v>60.720001000000003</v>
      </c>
      <c r="F241">
        <v>44.747565999999999</v>
      </c>
      <c r="G241">
        <v>54074700</v>
      </c>
    </row>
    <row r="242" spans="1:7" x14ac:dyDescent="0.3">
      <c r="A242" s="1">
        <v>42005</v>
      </c>
      <c r="B242">
        <v>60.880001</v>
      </c>
      <c r="C242">
        <v>65.379997000000003</v>
      </c>
      <c r="D242">
        <v>59.970001000000003</v>
      </c>
      <c r="E242">
        <v>62.810001</v>
      </c>
      <c r="F242">
        <v>46.287785</v>
      </c>
      <c r="G242">
        <v>52880300</v>
      </c>
    </row>
    <row r="243" spans="1:7" x14ac:dyDescent="0.3">
      <c r="A243" s="1">
        <v>42036</v>
      </c>
      <c r="B243">
        <v>62.810001</v>
      </c>
      <c r="C243">
        <v>63.509998000000003</v>
      </c>
      <c r="D243">
        <v>57.009998000000003</v>
      </c>
      <c r="E243">
        <v>57.580002</v>
      </c>
      <c r="F243">
        <v>42.433540000000001</v>
      </c>
      <c r="G243">
        <v>62127600</v>
      </c>
    </row>
    <row r="244" spans="1:7" x14ac:dyDescent="0.3">
      <c r="A244" s="1">
        <v>42064</v>
      </c>
      <c r="B244">
        <v>57.389999000000003</v>
      </c>
      <c r="C244">
        <v>58.279998999999997</v>
      </c>
      <c r="D244">
        <v>54.66</v>
      </c>
      <c r="E244">
        <v>56.25</v>
      </c>
      <c r="F244">
        <v>41.808216000000002</v>
      </c>
      <c r="G244">
        <v>60057000</v>
      </c>
    </row>
    <row r="245" spans="1:7" x14ac:dyDescent="0.3">
      <c r="A245" s="1">
        <v>42095</v>
      </c>
      <c r="B245">
        <v>56.220001000000003</v>
      </c>
      <c r="C245">
        <v>58.349997999999999</v>
      </c>
      <c r="D245">
        <v>55.380001</v>
      </c>
      <c r="E245">
        <v>56.869999</v>
      </c>
      <c r="F245">
        <v>42.269024000000002</v>
      </c>
      <c r="G245">
        <v>52918500</v>
      </c>
    </row>
    <row r="246" spans="1:7" x14ac:dyDescent="0.3">
      <c r="A246" s="1">
        <v>42125</v>
      </c>
      <c r="B246">
        <v>56.849997999999999</v>
      </c>
      <c r="C246">
        <v>57.720001000000003</v>
      </c>
      <c r="D246">
        <v>54.060001</v>
      </c>
      <c r="E246">
        <v>56.290000999999997</v>
      </c>
      <c r="F246">
        <v>41.837952000000001</v>
      </c>
      <c r="G246">
        <v>48093200</v>
      </c>
    </row>
    <row r="247" spans="1:7" x14ac:dyDescent="0.3">
      <c r="A247" s="1">
        <v>42156</v>
      </c>
      <c r="B247">
        <v>56.07</v>
      </c>
      <c r="C247">
        <v>56.41</v>
      </c>
      <c r="D247">
        <v>52.32</v>
      </c>
      <c r="E247">
        <v>52.970001000000003</v>
      </c>
      <c r="F247">
        <v>39.747177000000001</v>
      </c>
      <c r="G247">
        <v>54700200</v>
      </c>
    </row>
    <row r="248" spans="1:7" x14ac:dyDescent="0.3">
      <c r="A248" s="1">
        <v>42186</v>
      </c>
      <c r="B248">
        <v>53</v>
      </c>
      <c r="C248">
        <v>57.220001000000003</v>
      </c>
      <c r="D248">
        <v>52.759998000000003</v>
      </c>
      <c r="E248">
        <v>56.57</v>
      </c>
      <c r="F248">
        <v>42.448517000000002</v>
      </c>
      <c r="G248">
        <v>60586900</v>
      </c>
    </row>
    <row r="249" spans="1:7" x14ac:dyDescent="0.3">
      <c r="A249" s="1">
        <v>42217</v>
      </c>
      <c r="B249">
        <v>56.779998999999997</v>
      </c>
      <c r="C249">
        <v>59.18</v>
      </c>
      <c r="D249">
        <v>52.799999</v>
      </c>
      <c r="E249">
        <v>54.290000999999997</v>
      </c>
      <c r="F249">
        <v>40.737675000000003</v>
      </c>
      <c r="G249">
        <v>58533100</v>
      </c>
    </row>
    <row r="250" spans="1:7" x14ac:dyDescent="0.3">
      <c r="A250" s="1">
        <v>42248</v>
      </c>
      <c r="B250">
        <v>53.740001999999997</v>
      </c>
      <c r="C250">
        <v>56.970001000000003</v>
      </c>
      <c r="D250">
        <v>52.290000999999997</v>
      </c>
      <c r="E250">
        <v>56.860000999999997</v>
      </c>
      <c r="F250">
        <v>43.069060999999998</v>
      </c>
      <c r="G250">
        <v>61186200</v>
      </c>
    </row>
    <row r="251" spans="1:7" x14ac:dyDescent="0.3">
      <c r="A251" s="1">
        <v>42278</v>
      </c>
      <c r="B251">
        <v>56.919998</v>
      </c>
      <c r="C251">
        <v>59.52</v>
      </c>
      <c r="D251">
        <v>55.52</v>
      </c>
      <c r="E251">
        <v>56.650002000000001</v>
      </c>
      <c r="F251">
        <v>42.909996</v>
      </c>
      <c r="G251">
        <v>71058300</v>
      </c>
    </row>
    <row r="252" spans="1:7" x14ac:dyDescent="0.3">
      <c r="A252" s="1">
        <v>42309</v>
      </c>
      <c r="B252">
        <v>56.650002000000001</v>
      </c>
      <c r="C252">
        <v>57.150002000000001</v>
      </c>
      <c r="D252">
        <v>53.299999</v>
      </c>
      <c r="E252">
        <v>56.009998000000003</v>
      </c>
      <c r="F252">
        <v>42.425227999999997</v>
      </c>
      <c r="G252">
        <v>58678900</v>
      </c>
    </row>
    <row r="253" spans="1:7" x14ac:dyDescent="0.3">
      <c r="A253" s="1">
        <v>42339</v>
      </c>
      <c r="B253">
        <v>56.360000999999997</v>
      </c>
      <c r="C253">
        <v>59.439999</v>
      </c>
      <c r="D253">
        <v>54.080002</v>
      </c>
      <c r="E253">
        <v>58.27</v>
      </c>
      <c r="F253">
        <v>44.578999000000003</v>
      </c>
      <c r="G253">
        <v>68654000</v>
      </c>
    </row>
    <row r="254" spans="1:7" x14ac:dyDescent="0.3">
      <c r="A254" s="1">
        <v>42370</v>
      </c>
      <c r="B254">
        <v>57.82</v>
      </c>
      <c r="C254">
        <v>61.080002</v>
      </c>
      <c r="D254">
        <v>56.75</v>
      </c>
      <c r="E254">
        <v>60.970001000000003</v>
      </c>
      <c r="F254">
        <v>46.644623000000003</v>
      </c>
      <c r="G254">
        <v>70842400</v>
      </c>
    </row>
    <row r="255" spans="1:7" x14ac:dyDescent="0.3">
      <c r="A255" s="1">
        <v>42401</v>
      </c>
      <c r="B255">
        <v>61</v>
      </c>
      <c r="C255">
        <v>63.900002000000001</v>
      </c>
      <c r="D255">
        <v>60.330002</v>
      </c>
      <c r="E255">
        <v>61.75</v>
      </c>
      <c r="F255">
        <v>47.24136</v>
      </c>
      <c r="G255">
        <v>68807200</v>
      </c>
    </row>
    <row r="256" spans="1:7" x14ac:dyDescent="0.3">
      <c r="A256" s="1">
        <v>42430</v>
      </c>
      <c r="B256">
        <v>62.07</v>
      </c>
      <c r="C256">
        <v>66.489998</v>
      </c>
      <c r="D256">
        <v>60.150002000000001</v>
      </c>
      <c r="E256">
        <v>66.400002000000001</v>
      </c>
      <c r="F256">
        <v>51.255561999999998</v>
      </c>
      <c r="G256">
        <v>62831900</v>
      </c>
    </row>
    <row r="257" spans="1:7" x14ac:dyDescent="0.3">
      <c r="A257" s="1">
        <v>42461</v>
      </c>
      <c r="B257">
        <v>66.099997999999999</v>
      </c>
      <c r="C257">
        <v>67.190002000000007</v>
      </c>
      <c r="D257">
        <v>61.419998</v>
      </c>
      <c r="E257">
        <v>63.5</v>
      </c>
      <c r="F257">
        <v>49.016990999999997</v>
      </c>
      <c r="G257">
        <v>53673400</v>
      </c>
    </row>
    <row r="258" spans="1:7" x14ac:dyDescent="0.3">
      <c r="A258" s="1">
        <v>42491</v>
      </c>
      <c r="B258">
        <v>63.599997999999999</v>
      </c>
      <c r="C258">
        <v>65.970000999999996</v>
      </c>
      <c r="D258">
        <v>62.610000999999997</v>
      </c>
      <c r="E258">
        <v>64.730002999999996</v>
      </c>
      <c r="F258">
        <v>49.966461000000002</v>
      </c>
      <c r="G258">
        <v>63997800</v>
      </c>
    </row>
    <row r="259" spans="1:7" x14ac:dyDescent="0.3">
      <c r="A259" s="1">
        <v>42522</v>
      </c>
      <c r="B259">
        <v>64.730002999999996</v>
      </c>
      <c r="C259">
        <v>70.099997999999999</v>
      </c>
      <c r="D259">
        <v>64.040001000000004</v>
      </c>
      <c r="E259">
        <v>70.089995999999999</v>
      </c>
      <c r="F259">
        <v>54.573039999999999</v>
      </c>
      <c r="G259">
        <v>49353200</v>
      </c>
    </row>
    <row r="260" spans="1:7" x14ac:dyDescent="0.3">
      <c r="A260" s="1">
        <v>42552</v>
      </c>
      <c r="B260">
        <v>70.459998999999996</v>
      </c>
      <c r="C260">
        <v>71.319999999999993</v>
      </c>
      <c r="D260">
        <v>68.25</v>
      </c>
      <c r="E260">
        <v>69.300003000000004</v>
      </c>
      <c r="F260">
        <v>53.957939000000003</v>
      </c>
      <c r="G260">
        <v>47558000</v>
      </c>
    </row>
    <row r="261" spans="1:7" x14ac:dyDescent="0.3">
      <c r="A261" s="1">
        <v>42583</v>
      </c>
      <c r="B261">
        <v>68.870002999999997</v>
      </c>
      <c r="C261">
        <v>69.480002999999996</v>
      </c>
      <c r="D261">
        <v>64.069999999999993</v>
      </c>
      <c r="E261">
        <v>64.569999999999993</v>
      </c>
      <c r="F261">
        <v>50.275097000000002</v>
      </c>
      <c r="G261">
        <v>51373300</v>
      </c>
    </row>
    <row r="262" spans="1:7" x14ac:dyDescent="0.3">
      <c r="A262" s="1">
        <v>42614</v>
      </c>
      <c r="B262">
        <v>64.410004000000001</v>
      </c>
      <c r="C262">
        <v>66.959998999999996</v>
      </c>
      <c r="D262">
        <v>63.560001</v>
      </c>
      <c r="E262">
        <v>64.209998999999996</v>
      </c>
      <c r="F262">
        <v>50.410857999999998</v>
      </c>
      <c r="G262">
        <v>56212800</v>
      </c>
    </row>
    <row r="263" spans="1:7" x14ac:dyDescent="0.3">
      <c r="A263" s="1">
        <v>42644</v>
      </c>
      <c r="B263">
        <v>64.040001000000004</v>
      </c>
      <c r="C263">
        <v>65.25</v>
      </c>
      <c r="D263">
        <v>61.279998999999997</v>
      </c>
      <c r="E263">
        <v>64.839995999999999</v>
      </c>
      <c r="F263">
        <v>50.905467999999999</v>
      </c>
      <c r="G263">
        <v>55768200</v>
      </c>
    </row>
    <row r="264" spans="1:7" x14ac:dyDescent="0.3">
      <c r="A264" s="1">
        <v>42675</v>
      </c>
      <c r="B264">
        <v>64.550003000000004</v>
      </c>
      <c r="C264">
        <v>64.900002000000001</v>
      </c>
      <c r="D264">
        <v>58.16</v>
      </c>
      <c r="E264">
        <v>59.049999</v>
      </c>
      <c r="F264">
        <v>46.359772</v>
      </c>
      <c r="G264">
        <v>68310700</v>
      </c>
    </row>
    <row r="265" spans="1:7" x14ac:dyDescent="0.3">
      <c r="A265" s="1">
        <v>42705</v>
      </c>
      <c r="B265">
        <v>58.82</v>
      </c>
      <c r="C265">
        <v>63.529998999999997</v>
      </c>
      <c r="D265">
        <v>57.889999000000003</v>
      </c>
      <c r="E265">
        <v>62.959999000000003</v>
      </c>
      <c r="F265">
        <v>49.894984999999998</v>
      </c>
      <c r="G265">
        <v>50823600</v>
      </c>
    </row>
    <row r="266" spans="1:7" x14ac:dyDescent="0.3">
      <c r="A266" s="1">
        <v>42736</v>
      </c>
      <c r="B266">
        <v>63.009998000000003</v>
      </c>
      <c r="C266">
        <v>64.110000999999997</v>
      </c>
      <c r="D266">
        <v>61.82</v>
      </c>
      <c r="E266">
        <v>64.059997999999993</v>
      </c>
      <c r="F266">
        <v>50.766711999999998</v>
      </c>
      <c r="G266">
        <v>45686700</v>
      </c>
    </row>
    <row r="267" spans="1:7" x14ac:dyDescent="0.3">
      <c r="A267" s="1">
        <v>42767</v>
      </c>
      <c r="B267">
        <v>63.580002</v>
      </c>
      <c r="C267">
        <v>67.220000999999996</v>
      </c>
      <c r="D267">
        <v>62.689999</v>
      </c>
      <c r="E267">
        <v>66.970000999999996</v>
      </c>
      <c r="F267">
        <v>53.072845000000001</v>
      </c>
      <c r="G267">
        <v>45166900</v>
      </c>
    </row>
    <row r="268" spans="1:7" x14ac:dyDescent="0.3">
      <c r="A268" s="1">
        <v>42795</v>
      </c>
      <c r="B268">
        <v>66.199996999999996</v>
      </c>
      <c r="C268">
        <v>68.25</v>
      </c>
      <c r="D268">
        <v>64.809997999999993</v>
      </c>
      <c r="E268">
        <v>67.129997000000003</v>
      </c>
      <c r="F268">
        <v>53.695202000000002</v>
      </c>
      <c r="G268">
        <v>55092500</v>
      </c>
    </row>
    <row r="269" spans="1:7" x14ac:dyDescent="0.3">
      <c r="A269" s="1">
        <v>42826</v>
      </c>
      <c r="B269">
        <v>67.019997000000004</v>
      </c>
      <c r="C269">
        <v>68.459998999999996</v>
      </c>
      <c r="D269">
        <v>66.5</v>
      </c>
      <c r="E269">
        <v>67.830001999999993</v>
      </c>
      <c r="F269">
        <v>54.255108</v>
      </c>
      <c r="G269">
        <v>42846200</v>
      </c>
    </row>
    <row r="270" spans="1:7" x14ac:dyDescent="0.3">
      <c r="A270" s="1">
        <v>42856</v>
      </c>
      <c r="B270">
        <v>68.029999000000004</v>
      </c>
      <c r="C270">
        <v>71.910004000000001</v>
      </c>
      <c r="D270">
        <v>66.930000000000007</v>
      </c>
      <c r="E270">
        <v>71.779999000000004</v>
      </c>
      <c r="F270">
        <v>57.414580999999998</v>
      </c>
      <c r="G270">
        <v>51106900</v>
      </c>
    </row>
    <row r="271" spans="1:7" x14ac:dyDescent="0.3">
      <c r="A271" s="1">
        <v>42887</v>
      </c>
      <c r="B271">
        <v>71.650002000000001</v>
      </c>
      <c r="C271">
        <v>72.970000999999996</v>
      </c>
      <c r="D271">
        <v>69.190002000000007</v>
      </c>
      <c r="E271">
        <v>69.470000999999996</v>
      </c>
      <c r="F271">
        <v>56.050297</v>
      </c>
      <c r="G271">
        <v>58551900</v>
      </c>
    </row>
    <row r="272" spans="1:7" x14ac:dyDescent="0.3">
      <c r="A272" s="1">
        <v>42917</v>
      </c>
      <c r="B272">
        <v>69.690002000000007</v>
      </c>
      <c r="C272">
        <v>70.809997999999993</v>
      </c>
      <c r="D272">
        <v>68.110000999999997</v>
      </c>
      <c r="E272">
        <v>70.540001000000004</v>
      </c>
      <c r="F272">
        <v>56.913612000000001</v>
      </c>
      <c r="G272">
        <v>54311800</v>
      </c>
    </row>
    <row r="273" spans="1:7" x14ac:dyDescent="0.3">
      <c r="A273" s="1">
        <v>42948</v>
      </c>
      <c r="B273">
        <v>70.589995999999999</v>
      </c>
      <c r="C273">
        <v>74.290001000000004</v>
      </c>
      <c r="D273">
        <v>70.080001999999993</v>
      </c>
      <c r="E273">
        <v>73.629997000000003</v>
      </c>
      <c r="F273">
        <v>59.406714999999998</v>
      </c>
      <c r="G273">
        <v>46701900</v>
      </c>
    </row>
    <row r="274" spans="1:7" x14ac:dyDescent="0.3">
      <c r="A274" s="1">
        <v>42979</v>
      </c>
      <c r="B274">
        <v>73.839995999999999</v>
      </c>
      <c r="C274">
        <v>74.589995999999999</v>
      </c>
      <c r="D274">
        <v>69.930000000000007</v>
      </c>
      <c r="E274">
        <v>70.239998</v>
      </c>
      <c r="F274">
        <v>57.143828999999997</v>
      </c>
      <c r="G274">
        <v>46064900</v>
      </c>
    </row>
    <row r="275" spans="1:7" x14ac:dyDescent="0.3">
      <c r="A275" s="1">
        <v>43009</v>
      </c>
      <c r="B275">
        <v>70.459998999999996</v>
      </c>
      <c r="C275">
        <v>74.900002000000001</v>
      </c>
      <c r="D275">
        <v>69.550003000000004</v>
      </c>
      <c r="E275">
        <v>74.410004000000001</v>
      </c>
      <c r="F275">
        <v>60.536335000000001</v>
      </c>
      <c r="G275">
        <v>43160100</v>
      </c>
    </row>
    <row r="276" spans="1:7" x14ac:dyDescent="0.3">
      <c r="A276" s="1">
        <v>43040</v>
      </c>
      <c r="B276">
        <v>74.419998000000007</v>
      </c>
      <c r="C276">
        <v>77.930000000000007</v>
      </c>
      <c r="D276">
        <v>73.559997999999993</v>
      </c>
      <c r="E276">
        <v>77.629997000000003</v>
      </c>
      <c r="F276">
        <v>63.155963999999997</v>
      </c>
      <c r="G276">
        <v>44006100</v>
      </c>
    </row>
    <row r="277" spans="1:7" x14ac:dyDescent="0.3">
      <c r="A277" s="1">
        <v>43070</v>
      </c>
      <c r="B277">
        <v>77.779999000000004</v>
      </c>
      <c r="C277">
        <v>78.069999999999993</v>
      </c>
      <c r="D277">
        <v>72.940002000000007</v>
      </c>
      <c r="E277">
        <v>73.569999999999993</v>
      </c>
      <c r="F277">
        <v>60.348407999999999</v>
      </c>
      <c r="G277">
        <v>46723400</v>
      </c>
    </row>
    <row r="278" spans="1:7" x14ac:dyDescent="0.3">
      <c r="A278" s="1">
        <v>43101</v>
      </c>
      <c r="B278">
        <v>73.180000000000007</v>
      </c>
      <c r="C278">
        <v>73.419998000000007</v>
      </c>
      <c r="D278">
        <v>67.110000999999997</v>
      </c>
      <c r="E278">
        <v>68.779999000000004</v>
      </c>
      <c r="F278">
        <v>56.419224</v>
      </c>
      <c r="G278">
        <v>82351000</v>
      </c>
    </row>
    <row r="279" spans="1:7" x14ac:dyDescent="0.3">
      <c r="A279" s="1">
        <v>43132</v>
      </c>
      <c r="B279">
        <v>68.739998</v>
      </c>
      <c r="C279">
        <v>68.980002999999996</v>
      </c>
      <c r="D279">
        <v>63.32</v>
      </c>
      <c r="E279">
        <v>65.580001999999993</v>
      </c>
      <c r="F279">
        <v>53.794314999999997</v>
      </c>
      <c r="G279">
        <v>73587000</v>
      </c>
    </row>
    <row r="280" spans="1:7" x14ac:dyDescent="0.3">
      <c r="A280" s="1">
        <v>43160</v>
      </c>
      <c r="B280">
        <v>65.650002000000001</v>
      </c>
      <c r="C280">
        <v>69.239998</v>
      </c>
      <c r="D280">
        <v>64.599997999999999</v>
      </c>
      <c r="E280">
        <v>68.589995999999999</v>
      </c>
      <c r="F280">
        <v>56.809868000000002</v>
      </c>
      <c r="G280">
        <v>68991700</v>
      </c>
    </row>
    <row r="281" spans="1:7" x14ac:dyDescent="0.3">
      <c r="A281" s="1">
        <v>43191</v>
      </c>
      <c r="B281">
        <v>68.790001000000004</v>
      </c>
      <c r="C281">
        <v>70.980002999999996</v>
      </c>
      <c r="D281">
        <v>66.459998999999996</v>
      </c>
      <c r="E281">
        <v>69.980002999999996</v>
      </c>
      <c r="F281">
        <v>57.96114</v>
      </c>
      <c r="G281">
        <v>47840300</v>
      </c>
    </row>
    <row r="282" spans="1:7" x14ac:dyDescent="0.3">
      <c r="A282" s="1">
        <v>43221</v>
      </c>
      <c r="B282">
        <v>69.970000999999996</v>
      </c>
      <c r="C282">
        <v>69.989998</v>
      </c>
      <c r="D282">
        <v>64.459998999999996</v>
      </c>
      <c r="E282">
        <v>67.949996999999996</v>
      </c>
      <c r="F282">
        <v>56.279792999999998</v>
      </c>
      <c r="G282">
        <v>63838400</v>
      </c>
    </row>
    <row r="283" spans="1:7" x14ac:dyDescent="0.3">
      <c r="A283" s="1">
        <v>43252</v>
      </c>
      <c r="B283">
        <v>67.690002000000007</v>
      </c>
      <c r="C283">
        <v>70.300003000000004</v>
      </c>
      <c r="D283">
        <v>62.709999000000003</v>
      </c>
      <c r="E283">
        <v>69.25</v>
      </c>
      <c r="F283">
        <v>57.890247000000002</v>
      </c>
      <c r="G283">
        <v>74138200</v>
      </c>
    </row>
    <row r="284" spans="1:7" x14ac:dyDescent="0.3">
      <c r="A284" s="1">
        <v>43282</v>
      </c>
      <c r="B284">
        <v>69.419998000000007</v>
      </c>
      <c r="C284">
        <v>71.889999000000003</v>
      </c>
      <c r="D284">
        <v>68.129997000000003</v>
      </c>
      <c r="E284">
        <v>71.139999000000003</v>
      </c>
      <c r="F284">
        <v>59.470188</v>
      </c>
      <c r="G284">
        <v>63014000</v>
      </c>
    </row>
    <row r="285" spans="1:7" x14ac:dyDescent="0.3">
      <c r="A285" s="1">
        <v>43313</v>
      </c>
      <c r="B285">
        <v>70.629997000000003</v>
      </c>
      <c r="C285">
        <v>72.910004000000001</v>
      </c>
      <c r="D285">
        <v>69.319999999999993</v>
      </c>
      <c r="E285">
        <v>71.730002999999996</v>
      </c>
      <c r="F285">
        <v>59.963413000000003</v>
      </c>
      <c r="G285">
        <v>48437300</v>
      </c>
    </row>
    <row r="286" spans="1:7" x14ac:dyDescent="0.3">
      <c r="A286" s="1">
        <v>43344</v>
      </c>
      <c r="B286">
        <v>72.029999000000004</v>
      </c>
      <c r="C286">
        <v>73.739998</v>
      </c>
      <c r="D286">
        <v>68.919998000000007</v>
      </c>
      <c r="E286">
        <v>70.879997000000003</v>
      </c>
      <c r="F286">
        <v>59.775345000000002</v>
      </c>
      <c r="G286">
        <v>43864800</v>
      </c>
    </row>
    <row r="287" spans="1:7" x14ac:dyDescent="0.3">
      <c r="A287" s="1">
        <v>43374</v>
      </c>
      <c r="B287">
        <v>70.769997000000004</v>
      </c>
      <c r="C287">
        <v>76.050003000000004</v>
      </c>
      <c r="D287">
        <v>69.309997999999993</v>
      </c>
      <c r="E287">
        <v>73.360000999999997</v>
      </c>
      <c r="F287">
        <v>61.866787000000002</v>
      </c>
      <c r="G287">
        <v>72952100</v>
      </c>
    </row>
    <row r="288" spans="1:7" x14ac:dyDescent="0.3">
      <c r="A288" s="1">
        <v>43405</v>
      </c>
      <c r="B288">
        <v>73.449996999999996</v>
      </c>
      <c r="C288">
        <v>78.470000999999996</v>
      </c>
      <c r="D288">
        <v>72.069999999999993</v>
      </c>
      <c r="E288">
        <v>77.739998</v>
      </c>
      <c r="F288">
        <v>65.560592999999997</v>
      </c>
      <c r="G288">
        <v>54763100</v>
      </c>
    </row>
    <row r="289" spans="1:7" x14ac:dyDescent="0.3">
      <c r="A289" s="1">
        <v>43435</v>
      </c>
      <c r="B289">
        <v>77.199996999999996</v>
      </c>
      <c r="C289">
        <v>81.050003000000004</v>
      </c>
      <c r="D289">
        <v>72.529999000000004</v>
      </c>
      <c r="E289">
        <v>74.739998</v>
      </c>
      <c r="F289">
        <v>63.597752</v>
      </c>
      <c r="G289">
        <v>52979800</v>
      </c>
    </row>
    <row r="290" spans="1:7" x14ac:dyDescent="0.3">
      <c r="A290" s="1">
        <v>43466</v>
      </c>
      <c r="B290">
        <v>74.610000999999997</v>
      </c>
      <c r="C290">
        <v>79.610000999999997</v>
      </c>
      <c r="D290">
        <v>72.260002</v>
      </c>
      <c r="E290">
        <v>79.120002999999997</v>
      </c>
      <c r="F290">
        <v>67.324791000000005</v>
      </c>
      <c r="G290">
        <v>57152100</v>
      </c>
    </row>
    <row r="291" spans="1:7" x14ac:dyDescent="0.3">
      <c r="A291" s="1">
        <v>43497</v>
      </c>
      <c r="B291">
        <v>79.120002999999997</v>
      </c>
      <c r="C291">
        <v>81.760002</v>
      </c>
      <c r="D291">
        <v>78.150002000000001</v>
      </c>
      <c r="E291">
        <v>81.150002000000001</v>
      </c>
      <c r="F291">
        <v>69.052154999999999</v>
      </c>
      <c r="G291">
        <v>45106300</v>
      </c>
    </row>
    <row r="292" spans="1:7" x14ac:dyDescent="0.3">
      <c r="A292" s="1">
        <v>43525</v>
      </c>
      <c r="B292">
        <v>81.110000999999997</v>
      </c>
      <c r="C292">
        <v>86.099997999999999</v>
      </c>
      <c r="D292">
        <v>80.620002999999997</v>
      </c>
      <c r="E292">
        <v>83.75</v>
      </c>
      <c r="F292">
        <v>71.872474999999994</v>
      </c>
      <c r="G292">
        <v>69641000</v>
      </c>
    </row>
    <row r="293" spans="1:7" x14ac:dyDescent="0.3">
      <c r="A293" s="1">
        <v>43556</v>
      </c>
      <c r="B293">
        <v>83.900002000000001</v>
      </c>
      <c r="C293">
        <v>85.769997000000004</v>
      </c>
      <c r="D293">
        <v>82.150002000000001</v>
      </c>
      <c r="E293">
        <v>85.550003000000004</v>
      </c>
      <c r="F293">
        <v>73.417205999999993</v>
      </c>
      <c r="G293">
        <v>51813900</v>
      </c>
    </row>
    <row r="294" spans="1:7" x14ac:dyDescent="0.3">
      <c r="A294" s="1">
        <v>43586</v>
      </c>
      <c r="B294">
        <v>85.209998999999996</v>
      </c>
      <c r="C294">
        <v>89.010002</v>
      </c>
      <c r="D294">
        <v>82.559997999999993</v>
      </c>
      <c r="E294">
        <v>86.120002999999997</v>
      </c>
      <c r="F294">
        <v>73.906363999999996</v>
      </c>
      <c r="G294">
        <v>48221400</v>
      </c>
    </row>
    <row r="295" spans="1:7" x14ac:dyDescent="0.3">
      <c r="A295" s="1">
        <v>43617</v>
      </c>
      <c r="B295">
        <v>86.349997999999999</v>
      </c>
      <c r="C295">
        <v>91.989998</v>
      </c>
      <c r="D295">
        <v>85.260002</v>
      </c>
      <c r="E295">
        <v>88.010002</v>
      </c>
      <c r="F295">
        <v>76.137580999999997</v>
      </c>
      <c r="G295">
        <v>47249600</v>
      </c>
    </row>
    <row r="296" spans="1:7" x14ac:dyDescent="0.3">
      <c r="A296" s="1">
        <v>43647</v>
      </c>
      <c r="B296">
        <v>87.989998</v>
      </c>
      <c r="C296">
        <v>91.82</v>
      </c>
      <c r="D296">
        <v>87.080001999999993</v>
      </c>
      <c r="E296">
        <v>87.809997999999993</v>
      </c>
      <c r="F296">
        <v>75.964554000000007</v>
      </c>
      <c r="G296">
        <v>39225800</v>
      </c>
    </row>
    <row r="297" spans="1:7" x14ac:dyDescent="0.3">
      <c r="A297" s="1">
        <v>43678</v>
      </c>
      <c r="B297">
        <v>87.650002000000001</v>
      </c>
      <c r="C297">
        <v>91.5</v>
      </c>
      <c r="D297">
        <v>87.040001000000004</v>
      </c>
      <c r="E297">
        <v>91.150002000000001</v>
      </c>
      <c r="F297">
        <v>78.853995999999995</v>
      </c>
      <c r="G297">
        <v>50932400</v>
      </c>
    </row>
    <row r="298" spans="1:7" x14ac:dyDescent="0.3">
      <c r="A298" s="1">
        <v>43709</v>
      </c>
      <c r="B298">
        <v>91.220000999999996</v>
      </c>
      <c r="C298">
        <v>94.889999000000003</v>
      </c>
      <c r="D298">
        <v>90.080001999999993</v>
      </c>
      <c r="E298">
        <v>93.690002000000007</v>
      </c>
      <c r="F298">
        <v>81.661034000000001</v>
      </c>
      <c r="G298">
        <v>45831900</v>
      </c>
    </row>
    <row r="299" spans="1:7" x14ac:dyDescent="0.3">
      <c r="A299" s="1">
        <v>43739</v>
      </c>
      <c r="B299">
        <v>93.339995999999999</v>
      </c>
      <c r="C299">
        <v>96.220000999999996</v>
      </c>
      <c r="D299">
        <v>91.349997999999999</v>
      </c>
      <c r="E299">
        <v>94.389999000000003</v>
      </c>
      <c r="F299">
        <v>82.271172000000007</v>
      </c>
      <c r="G299">
        <v>50281400</v>
      </c>
    </row>
    <row r="300" spans="1:7" x14ac:dyDescent="0.3">
      <c r="A300" s="1">
        <v>43770</v>
      </c>
      <c r="B300">
        <v>94.720000999999996</v>
      </c>
      <c r="C300">
        <v>94.980002999999996</v>
      </c>
      <c r="D300">
        <v>88.169998000000007</v>
      </c>
      <c r="E300">
        <v>91.349997999999999</v>
      </c>
      <c r="F300">
        <v>79.621467999999993</v>
      </c>
      <c r="G300">
        <v>51950000</v>
      </c>
    </row>
    <row r="301" spans="1:7" x14ac:dyDescent="0.3">
      <c r="A301" s="1">
        <v>43800</v>
      </c>
      <c r="B301">
        <v>91.029999000000004</v>
      </c>
      <c r="C301">
        <v>95.769997000000004</v>
      </c>
      <c r="D301">
        <v>90.209998999999996</v>
      </c>
      <c r="E301">
        <v>94.510002</v>
      </c>
      <c r="F301">
        <v>83.007476999999994</v>
      </c>
      <c r="G301">
        <v>42958200</v>
      </c>
    </row>
    <row r="302" spans="1:7" x14ac:dyDescent="0.3">
      <c r="A302" s="1">
        <v>43831</v>
      </c>
      <c r="B302">
        <v>94.5</v>
      </c>
      <c r="C302">
        <v>104.43</v>
      </c>
      <c r="D302">
        <v>92.940002000000007</v>
      </c>
      <c r="E302">
        <v>104.220001</v>
      </c>
      <c r="F302">
        <v>91.535697999999996</v>
      </c>
      <c r="G302">
        <v>52596200</v>
      </c>
    </row>
    <row r="303" spans="1:7" x14ac:dyDescent="0.3">
      <c r="A303" s="1">
        <v>43862</v>
      </c>
      <c r="B303">
        <v>104.470001</v>
      </c>
      <c r="C303">
        <v>104.970001</v>
      </c>
      <c r="D303">
        <v>86.419998000000007</v>
      </c>
      <c r="E303">
        <v>89.260002</v>
      </c>
      <c r="F303">
        <v>78.396422999999999</v>
      </c>
      <c r="G303">
        <v>57689000</v>
      </c>
    </row>
    <row r="304" spans="1:7" x14ac:dyDescent="0.3">
      <c r="A304" s="1">
        <v>43891</v>
      </c>
      <c r="B304">
        <v>89.550003000000004</v>
      </c>
      <c r="C304">
        <v>100.650002</v>
      </c>
      <c r="D304">
        <v>65.139999000000003</v>
      </c>
      <c r="E304">
        <v>79.980002999999996</v>
      </c>
      <c r="F304">
        <v>70.730086999999997</v>
      </c>
      <c r="G304">
        <v>118911500</v>
      </c>
    </row>
    <row r="305" spans="1:7" x14ac:dyDescent="0.3">
      <c r="A305" s="1">
        <v>43922</v>
      </c>
      <c r="B305">
        <v>77.449996999999996</v>
      </c>
      <c r="C305">
        <v>88.290001000000004</v>
      </c>
      <c r="D305">
        <v>71.199996999999996</v>
      </c>
      <c r="E305">
        <v>83.110000999999997</v>
      </c>
      <c r="F305">
        <v>73.498085000000003</v>
      </c>
      <c r="G305">
        <v>61847700</v>
      </c>
    </row>
    <row r="306" spans="1:7" x14ac:dyDescent="0.3">
      <c r="A306" s="1">
        <v>43952</v>
      </c>
      <c r="B306">
        <v>82.389999000000003</v>
      </c>
      <c r="C306">
        <v>85.849997999999999</v>
      </c>
      <c r="D306">
        <v>76.230002999999996</v>
      </c>
      <c r="E306">
        <v>85.25</v>
      </c>
      <c r="F306">
        <v>75.390609999999995</v>
      </c>
      <c r="G306">
        <v>67544800</v>
      </c>
    </row>
    <row r="307" spans="1:7" x14ac:dyDescent="0.3">
      <c r="A307" s="1">
        <v>43983</v>
      </c>
      <c r="B307">
        <v>85.080001999999993</v>
      </c>
      <c r="C307">
        <v>88.120002999999997</v>
      </c>
      <c r="D307">
        <v>77.150002000000001</v>
      </c>
      <c r="E307">
        <v>79.639999000000003</v>
      </c>
      <c r="F307">
        <v>71.060492999999994</v>
      </c>
      <c r="G307">
        <v>61283600</v>
      </c>
    </row>
    <row r="308" spans="1:7" x14ac:dyDescent="0.3">
      <c r="A308" s="1">
        <v>44013</v>
      </c>
      <c r="B308">
        <v>79.760002</v>
      </c>
      <c r="C308">
        <v>89.93</v>
      </c>
      <c r="D308">
        <v>79.230002999999996</v>
      </c>
      <c r="E308">
        <v>86.879997000000003</v>
      </c>
      <c r="F308">
        <v>77.520545999999996</v>
      </c>
      <c r="G308">
        <v>79177700</v>
      </c>
    </row>
    <row r="309" spans="1:7" x14ac:dyDescent="0.3">
      <c r="A309" s="1">
        <v>44044</v>
      </c>
      <c r="B309">
        <v>86.620002999999997</v>
      </c>
      <c r="C309">
        <v>87.150002000000001</v>
      </c>
      <c r="D309">
        <v>77.319999999999993</v>
      </c>
      <c r="E309">
        <v>78.830001999999993</v>
      </c>
      <c r="F309">
        <v>70.337753000000006</v>
      </c>
      <c r="G309">
        <v>61332600</v>
      </c>
    </row>
    <row r="310" spans="1:7" x14ac:dyDescent="0.3">
      <c r="A310" s="1">
        <v>44075</v>
      </c>
      <c r="B310">
        <v>78.589995999999999</v>
      </c>
      <c r="C310">
        <v>82.099997999999999</v>
      </c>
      <c r="D310">
        <v>77.300003000000004</v>
      </c>
      <c r="E310">
        <v>81.730002999999996</v>
      </c>
      <c r="F310">
        <v>73.528244000000001</v>
      </c>
      <c r="G310">
        <v>50099700</v>
      </c>
    </row>
    <row r="311" spans="1:7" x14ac:dyDescent="0.3">
      <c r="A311" s="1">
        <v>44105</v>
      </c>
      <c r="B311">
        <v>81.690002000000007</v>
      </c>
      <c r="C311">
        <v>94.209998999999996</v>
      </c>
      <c r="D311">
        <v>81.300003000000004</v>
      </c>
      <c r="E311">
        <v>89.93</v>
      </c>
      <c r="F311">
        <v>80.905356999999995</v>
      </c>
      <c r="G311">
        <v>61263800</v>
      </c>
    </row>
    <row r="312" spans="1:7" x14ac:dyDescent="0.3">
      <c r="A312" s="1">
        <v>44136</v>
      </c>
      <c r="B312">
        <v>90.830001999999993</v>
      </c>
      <c r="C312">
        <v>94.209998999999996</v>
      </c>
      <c r="D312">
        <v>80.809997999999993</v>
      </c>
      <c r="E312">
        <v>84.889999000000003</v>
      </c>
      <c r="F312">
        <v>76.371132000000003</v>
      </c>
      <c r="G312">
        <v>60007900</v>
      </c>
    </row>
    <row r="313" spans="1:7" x14ac:dyDescent="0.3">
      <c r="A313" s="1">
        <v>44166</v>
      </c>
      <c r="B313">
        <v>85.230002999999996</v>
      </c>
      <c r="C313">
        <v>86.279999000000004</v>
      </c>
      <c r="D313">
        <v>80.410004000000001</v>
      </c>
      <c r="E313">
        <v>83.269997000000004</v>
      </c>
      <c r="F313">
        <v>75.528412000000003</v>
      </c>
      <c r="G313">
        <v>62788900</v>
      </c>
    </row>
    <row r="314" spans="1:7" x14ac:dyDescent="0.3">
      <c r="A314" s="1">
        <v>44197</v>
      </c>
      <c r="B314">
        <v>83.330001999999993</v>
      </c>
      <c r="C314">
        <v>83.440002000000007</v>
      </c>
      <c r="D314">
        <v>76.819999999999993</v>
      </c>
      <c r="E314">
        <v>80.910004000000001</v>
      </c>
      <c r="F314">
        <v>73.387839999999997</v>
      </c>
      <c r="G314">
        <v>65137200</v>
      </c>
    </row>
    <row r="315" spans="1:7" x14ac:dyDescent="0.3">
      <c r="A315" s="1">
        <v>44228</v>
      </c>
      <c r="B315">
        <v>81.099997999999999</v>
      </c>
      <c r="C315">
        <v>83.029999000000004</v>
      </c>
      <c r="D315">
        <v>74.800003000000004</v>
      </c>
      <c r="E315">
        <v>74.849997999999999</v>
      </c>
      <c r="F315">
        <v>67.891234999999995</v>
      </c>
      <c r="G315">
        <v>52228800</v>
      </c>
    </row>
    <row r="316" spans="1:7" x14ac:dyDescent="0.3">
      <c r="A316" s="1">
        <v>44256</v>
      </c>
      <c r="B316">
        <v>75.419998000000007</v>
      </c>
      <c r="C316">
        <v>86.129997000000003</v>
      </c>
      <c r="D316">
        <v>74.959998999999996</v>
      </c>
      <c r="E316">
        <v>84.699996999999996</v>
      </c>
      <c r="F316">
        <v>77.533989000000005</v>
      </c>
      <c r="G316">
        <v>79938600</v>
      </c>
    </row>
    <row r="317" spans="1:7" x14ac:dyDescent="0.3">
      <c r="A317" s="1">
        <v>44287</v>
      </c>
      <c r="B317">
        <v>84.900002000000001</v>
      </c>
      <c r="C317">
        <v>90.620002999999997</v>
      </c>
      <c r="D317">
        <v>84.300003000000004</v>
      </c>
      <c r="E317">
        <v>88.709998999999996</v>
      </c>
      <c r="F317">
        <v>81.204712000000001</v>
      </c>
      <c r="G317">
        <v>55832200</v>
      </c>
    </row>
    <row r="318" spans="1:7" x14ac:dyDescent="0.3">
      <c r="A318" s="1">
        <v>44317</v>
      </c>
      <c r="B318">
        <v>89.07</v>
      </c>
      <c r="C318">
        <v>89.5</v>
      </c>
      <c r="D318">
        <v>84.699996999999996</v>
      </c>
      <c r="E318">
        <v>86</v>
      </c>
      <c r="F318">
        <v>78.724007</v>
      </c>
      <c r="G318">
        <v>54576000</v>
      </c>
    </row>
    <row r="319" spans="1:7" x14ac:dyDescent="0.3">
      <c r="A319" s="1">
        <v>44348</v>
      </c>
      <c r="B319">
        <v>86.169998000000007</v>
      </c>
      <c r="C319">
        <v>86.410004000000001</v>
      </c>
      <c r="D319">
        <v>81.940002000000007</v>
      </c>
      <c r="E319">
        <v>84.589995999999999</v>
      </c>
      <c r="F319">
        <v>78.089057999999994</v>
      </c>
      <c r="G319">
        <v>65377600</v>
      </c>
    </row>
    <row r="320" spans="1:7" x14ac:dyDescent="0.3">
      <c r="A320" s="1">
        <v>44378</v>
      </c>
      <c r="B320">
        <v>84.730002999999996</v>
      </c>
      <c r="C320">
        <v>89.93</v>
      </c>
      <c r="D320">
        <v>84.019997000000004</v>
      </c>
      <c r="E320">
        <v>88.120002999999997</v>
      </c>
      <c r="F320">
        <v>81.347770999999995</v>
      </c>
      <c r="G320">
        <v>56786600</v>
      </c>
    </row>
    <row r="321" spans="1:7" x14ac:dyDescent="0.3">
      <c r="A321" s="1">
        <v>44409</v>
      </c>
      <c r="B321">
        <v>88.25</v>
      </c>
      <c r="C321">
        <v>91.489998</v>
      </c>
      <c r="D321">
        <v>87.660004000000001</v>
      </c>
      <c r="E321">
        <v>89.57</v>
      </c>
      <c r="F321">
        <v>82.686333000000005</v>
      </c>
      <c r="G321">
        <v>54765100</v>
      </c>
    </row>
    <row r="322" spans="1:7" x14ac:dyDescent="0.3">
      <c r="A322" s="1">
        <v>44440</v>
      </c>
      <c r="B322">
        <v>90</v>
      </c>
      <c r="C322">
        <v>91.089995999999999</v>
      </c>
      <c r="D322">
        <v>80.910004000000001</v>
      </c>
      <c r="E322">
        <v>81.180000000000007</v>
      </c>
      <c r="F322">
        <v>75.567038999999994</v>
      </c>
      <c r="G322">
        <v>58292000</v>
      </c>
    </row>
    <row r="323" spans="1:7" x14ac:dyDescent="0.3">
      <c r="A323" s="1">
        <v>44470</v>
      </c>
      <c r="B323">
        <v>81.790001000000004</v>
      </c>
      <c r="C323">
        <v>85.849997999999999</v>
      </c>
      <c r="D323">
        <v>80.879997000000003</v>
      </c>
      <c r="E323">
        <v>84.709998999999996</v>
      </c>
      <c r="F323">
        <v>78.852974000000003</v>
      </c>
      <c r="G323">
        <v>51229500</v>
      </c>
    </row>
    <row r="324" spans="1:7" x14ac:dyDescent="0.3">
      <c r="A324" s="1">
        <v>44501</v>
      </c>
      <c r="B324">
        <v>84.699996999999996</v>
      </c>
      <c r="C324">
        <v>85.870002999999997</v>
      </c>
      <c r="D324">
        <v>80.680000000000007</v>
      </c>
      <c r="E324">
        <v>81.050003000000004</v>
      </c>
      <c r="F324">
        <v>75.446044999999998</v>
      </c>
      <c r="G324">
        <v>54556300</v>
      </c>
    </row>
    <row r="325" spans="1:7" x14ac:dyDescent="0.3">
      <c r="A325" s="1">
        <v>44531</v>
      </c>
      <c r="B325">
        <v>81.569999999999993</v>
      </c>
      <c r="C325">
        <v>89.220000999999996</v>
      </c>
      <c r="D325">
        <v>80.220000999999996</v>
      </c>
      <c r="E325">
        <v>88.970000999999996</v>
      </c>
      <c r="F325">
        <v>83.595596</v>
      </c>
      <c r="G325">
        <v>59290200</v>
      </c>
    </row>
    <row r="326" spans="1:7" x14ac:dyDescent="0.3">
      <c r="A326" s="1">
        <v>44562</v>
      </c>
      <c r="B326">
        <v>88.629997000000003</v>
      </c>
      <c r="C326">
        <v>91.660004000000001</v>
      </c>
      <c r="D326">
        <v>87.080001999999993</v>
      </c>
      <c r="E326">
        <v>90.400002000000001</v>
      </c>
      <c r="F326">
        <v>84.939216999999999</v>
      </c>
      <c r="G326">
        <v>65679100</v>
      </c>
    </row>
    <row r="327" spans="1:7" x14ac:dyDescent="0.3">
      <c r="A327" s="1">
        <v>44593</v>
      </c>
      <c r="B327">
        <v>89.910004000000001</v>
      </c>
      <c r="C327">
        <v>90.889999000000003</v>
      </c>
      <c r="D327">
        <v>84.199996999999996</v>
      </c>
      <c r="E327">
        <v>90.650002000000001</v>
      </c>
      <c r="F327">
        <v>85.174118000000007</v>
      </c>
      <c r="G327">
        <v>67403000</v>
      </c>
    </row>
    <row r="328" spans="1:7" x14ac:dyDescent="0.3">
      <c r="A328" s="1">
        <v>44621</v>
      </c>
      <c r="B328">
        <v>90.349997999999999</v>
      </c>
      <c r="C328">
        <v>100.66999800000001</v>
      </c>
      <c r="D328">
        <v>89.660004000000001</v>
      </c>
      <c r="E328">
        <v>99.769997000000004</v>
      </c>
      <c r="F328">
        <v>94.560897999999995</v>
      </c>
      <c r="G328">
        <v>75434500</v>
      </c>
    </row>
    <row r="329" spans="1:7" x14ac:dyDescent="0.3">
      <c r="A329" s="1">
        <v>44652</v>
      </c>
      <c r="B329">
        <v>99.809997999999993</v>
      </c>
      <c r="C329">
        <v>104.80999799999999</v>
      </c>
      <c r="D329">
        <v>98.199996999999996</v>
      </c>
      <c r="E329">
        <v>99.110000999999997</v>
      </c>
      <c r="F329">
        <v>93.935364000000007</v>
      </c>
      <c r="G329">
        <v>54244800</v>
      </c>
    </row>
    <row r="330" spans="1:7" x14ac:dyDescent="0.3">
      <c r="A330" s="1">
        <v>44682</v>
      </c>
      <c r="B330">
        <v>99.470000999999996</v>
      </c>
      <c r="C330">
        <v>103.629997</v>
      </c>
      <c r="D330">
        <v>96.989998</v>
      </c>
      <c r="E330">
        <v>102.029999</v>
      </c>
      <c r="F330">
        <v>96.702911</v>
      </c>
      <c r="G330">
        <v>59249000</v>
      </c>
    </row>
    <row r="331" spans="1:7" x14ac:dyDescent="0.3">
      <c r="A331" s="1">
        <v>44713</v>
      </c>
      <c r="B331">
        <v>102.650002</v>
      </c>
      <c r="C331">
        <v>102.900002</v>
      </c>
      <c r="D331">
        <v>87.629997000000003</v>
      </c>
      <c r="E331">
        <v>95.940002000000007</v>
      </c>
      <c r="F331">
        <v>91.648253999999994</v>
      </c>
      <c r="G331">
        <v>62268900</v>
      </c>
    </row>
    <row r="332" spans="1:7" x14ac:dyDescent="0.3">
      <c r="A332" s="1">
        <v>44743</v>
      </c>
      <c r="B332">
        <v>96</v>
      </c>
      <c r="C332">
        <v>99.160004000000001</v>
      </c>
      <c r="D332">
        <v>92.059997999999993</v>
      </c>
      <c r="E332">
        <v>98.559997999999993</v>
      </c>
      <c r="F332">
        <v>94.151038999999997</v>
      </c>
      <c r="G332">
        <v>51470200</v>
      </c>
    </row>
    <row r="333" spans="1:7" x14ac:dyDescent="0.3">
      <c r="A333" s="1">
        <v>44774</v>
      </c>
      <c r="B333">
        <v>98.279999000000004</v>
      </c>
      <c r="C333">
        <v>105.480003</v>
      </c>
      <c r="D333">
        <v>96.730002999999996</v>
      </c>
      <c r="E333">
        <v>100.199997</v>
      </c>
      <c r="F333">
        <v>95.717690000000005</v>
      </c>
      <c r="G333">
        <v>50028000</v>
      </c>
    </row>
    <row r="334" spans="1:7" x14ac:dyDescent="0.3">
      <c r="A334" s="1">
        <v>44805</v>
      </c>
      <c r="B334">
        <v>100.25</v>
      </c>
      <c r="C334">
        <v>105.599998</v>
      </c>
      <c r="D334">
        <v>86.080001999999993</v>
      </c>
      <c r="E334">
        <v>86.449996999999996</v>
      </c>
      <c r="F334">
        <v>83.231453000000002</v>
      </c>
      <c r="G334">
        <v>60820300</v>
      </c>
    </row>
    <row r="335" spans="1:7" x14ac:dyDescent="0.3">
      <c r="A335" s="1">
        <v>44835</v>
      </c>
      <c r="B335">
        <v>87.699996999999996</v>
      </c>
      <c r="C335">
        <v>91.18</v>
      </c>
      <c r="D335">
        <v>80.300003000000004</v>
      </c>
      <c r="E335">
        <v>87.919998000000007</v>
      </c>
      <c r="F335">
        <v>84.646728999999993</v>
      </c>
      <c r="G335">
        <v>71046100</v>
      </c>
    </row>
    <row r="336" spans="1:7" x14ac:dyDescent="0.3">
      <c r="A336" s="1">
        <v>44866</v>
      </c>
      <c r="B336">
        <v>88.099997999999999</v>
      </c>
      <c r="C336">
        <v>97.279999000000004</v>
      </c>
      <c r="D336">
        <v>86.68</v>
      </c>
      <c r="E336">
        <v>96.800003000000004</v>
      </c>
      <c r="F336">
        <v>93.196128999999999</v>
      </c>
      <c r="G336">
        <v>71765500</v>
      </c>
    </row>
    <row r="337" spans="1:7" x14ac:dyDescent="0.3">
      <c r="A337" s="1">
        <v>44896</v>
      </c>
      <c r="B337">
        <v>97.739998</v>
      </c>
      <c r="C337">
        <v>100.32</v>
      </c>
      <c r="D337">
        <v>92.809997999999993</v>
      </c>
      <c r="E337">
        <v>94.949996999999996</v>
      </c>
      <c r="F337">
        <v>92.273109000000005</v>
      </c>
      <c r="G337">
        <v>65662800</v>
      </c>
    </row>
    <row r="338" spans="1:7" x14ac:dyDescent="0.3">
      <c r="A338" s="1">
        <v>44927</v>
      </c>
      <c r="B338">
        <v>94.900002000000001</v>
      </c>
      <c r="C338">
        <v>98.32</v>
      </c>
      <c r="D338">
        <v>90.089995999999999</v>
      </c>
      <c r="E338">
        <v>93.959998999999996</v>
      </c>
      <c r="F338">
        <v>91.311027999999993</v>
      </c>
      <c r="G338">
        <v>54521200</v>
      </c>
    </row>
    <row r="339" spans="1:7" x14ac:dyDescent="0.3">
      <c r="A339" s="1">
        <v>44958</v>
      </c>
      <c r="B339">
        <v>93.220000999999996</v>
      </c>
      <c r="C339">
        <v>95.629997000000003</v>
      </c>
      <c r="D339">
        <v>87.760002</v>
      </c>
      <c r="E339">
        <v>87.970000999999996</v>
      </c>
      <c r="F339">
        <v>85.489898999999994</v>
      </c>
      <c r="G339">
        <v>53956400</v>
      </c>
    </row>
    <row r="340" spans="1:7" x14ac:dyDescent="0.3">
      <c r="A340" s="1">
        <v>44986</v>
      </c>
      <c r="B340">
        <v>87.620002999999997</v>
      </c>
      <c r="C340">
        <v>93.139999000000003</v>
      </c>
      <c r="D340">
        <v>85.209998999999996</v>
      </c>
      <c r="E340">
        <v>90.989998</v>
      </c>
      <c r="F340">
        <v>89.244331000000003</v>
      </c>
      <c r="G340">
        <v>73715900</v>
      </c>
    </row>
    <row r="341" spans="1:7" x14ac:dyDescent="0.3">
      <c r="A341" s="1">
        <v>45017</v>
      </c>
      <c r="B341">
        <v>90.470000999999996</v>
      </c>
      <c r="C341">
        <v>96.050003000000004</v>
      </c>
      <c r="D341">
        <v>90.110000999999997</v>
      </c>
      <c r="E341">
        <v>92.419998000000007</v>
      </c>
      <c r="F341">
        <v>90.646889000000002</v>
      </c>
      <c r="G341">
        <v>44844100</v>
      </c>
    </row>
    <row r="342" spans="1:7" x14ac:dyDescent="0.3">
      <c r="A342" s="1">
        <v>45047</v>
      </c>
      <c r="B342">
        <v>92.300003000000004</v>
      </c>
      <c r="C342">
        <v>93.559997999999993</v>
      </c>
      <c r="D342">
        <v>81.319999999999993</v>
      </c>
      <c r="E342">
        <v>83.120002999999997</v>
      </c>
      <c r="F342">
        <v>81.525322000000003</v>
      </c>
      <c r="G342">
        <v>56499400</v>
      </c>
    </row>
    <row r="343" spans="1:7" x14ac:dyDescent="0.3">
      <c r="A343" s="1">
        <v>45078</v>
      </c>
      <c r="B343">
        <v>83.339995999999999</v>
      </c>
      <c r="C343">
        <v>86.050003000000004</v>
      </c>
      <c r="D343">
        <v>80.790001000000004</v>
      </c>
      <c r="E343">
        <v>84.199996999999996</v>
      </c>
      <c r="F343">
        <v>83.335280999999995</v>
      </c>
      <c r="G343">
        <v>71585300</v>
      </c>
    </row>
    <row r="344" spans="1:7" x14ac:dyDescent="0.3">
      <c r="A344" s="1">
        <v>45108</v>
      </c>
      <c r="B344">
        <v>84.18</v>
      </c>
      <c r="C344">
        <v>88.849997999999999</v>
      </c>
      <c r="D344">
        <v>83.599997999999999</v>
      </c>
      <c r="E344">
        <v>84.739998</v>
      </c>
      <c r="F344">
        <v>83.869736000000003</v>
      </c>
      <c r="G344">
        <v>67317900</v>
      </c>
    </row>
    <row r="345" spans="1:7" x14ac:dyDescent="0.3">
      <c r="A345" s="1">
        <v>45139</v>
      </c>
      <c r="B345">
        <v>84.839995999999999</v>
      </c>
      <c r="C345">
        <v>85.010002</v>
      </c>
      <c r="D345">
        <v>77.800003000000004</v>
      </c>
      <c r="E345">
        <v>78.400002000000001</v>
      </c>
      <c r="F345">
        <v>77.594848999999996</v>
      </c>
      <c r="G345">
        <v>66590500</v>
      </c>
    </row>
    <row r="346" spans="1:7" x14ac:dyDescent="0.3">
      <c r="A346" s="1">
        <v>45170</v>
      </c>
      <c r="B346">
        <v>78.860000999999997</v>
      </c>
      <c r="C346">
        <v>81.370002999999997</v>
      </c>
      <c r="D346">
        <v>74.230002999999996</v>
      </c>
      <c r="E346">
        <v>75.220000999999996</v>
      </c>
      <c r="F346">
        <v>75.220000999999996</v>
      </c>
      <c r="G346">
        <v>55691200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6063-0B26-E34D-9BC8-5203031C163C}">
  <dimension ref="A1:G346"/>
  <sheetViews>
    <sheetView workbookViewId="0">
      <selection activeCell="G1" sqref="G1"/>
    </sheetView>
  </sheetViews>
  <sheetFormatPr defaultColWidth="11.19921875" defaultRowHeight="15.6" x14ac:dyDescent="0.3"/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 s="1">
        <v>34700</v>
      </c>
      <c r="B2">
        <v>11.2</v>
      </c>
      <c r="C2">
        <v>11.46</v>
      </c>
      <c r="D2">
        <v>11.2</v>
      </c>
      <c r="E2">
        <v>11.34</v>
      </c>
      <c r="F2">
        <v>1.9893080000000001</v>
      </c>
      <c r="G2">
        <v>0</v>
      </c>
    </row>
    <row r="3" spans="1:7" x14ac:dyDescent="0.3">
      <c r="A3" s="1">
        <v>34731</v>
      </c>
      <c r="B3">
        <v>11.36</v>
      </c>
      <c r="C3">
        <v>11.74</v>
      </c>
      <c r="D3">
        <v>11.36</v>
      </c>
      <c r="E3">
        <v>11.74</v>
      </c>
      <c r="F3">
        <v>2.0594769999999998</v>
      </c>
      <c r="G3">
        <v>0</v>
      </c>
    </row>
    <row r="4" spans="1:7" x14ac:dyDescent="0.3">
      <c r="A4" s="1">
        <v>34759</v>
      </c>
      <c r="B4">
        <v>11.73</v>
      </c>
      <c r="C4">
        <v>11.88</v>
      </c>
      <c r="D4">
        <v>11.63</v>
      </c>
      <c r="E4">
        <v>11.88</v>
      </c>
      <c r="F4">
        <v>2.0840369999999999</v>
      </c>
      <c r="G4">
        <v>0</v>
      </c>
    </row>
    <row r="5" spans="1:7" x14ac:dyDescent="0.3">
      <c r="A5" s="1">
        <v>34790</v>
      </c>
      <c r="B5">
        <v>11.91</v>
      </c>
      <c r="C5">
        <v>12.3</v>
      </c>
      <c r="D5">
        <v>11.91</v>
      </c>
      <c r="E5">
        <v>12.3</v>
      </c>
      <c r="F5">
        <v>2.157715</v>
      </c>
      <c r="G5">
        <v>0</v>
      </c>
    </row>
    <row r="6" spans="1:7" x14ac:dyDescent="0.3">
      <c r="A6" s="1">
        <v>34820</v>
      </c>
      <c r="B6">
        <v>12.3</v>
      </c>
      <c r="C6">
        <v>12.71</v>
      </c>
      <c r="D6">
        <v>12.28</v>
      </c>
      <c r="E6">
        <v>12.64</v>
      </c>
      <c r="F6">
        <v>2.2173600000000002</v>
      </c>
      <c r="G6">
        <v>0</v>
      </c>
    </row>
    <row r="7" spans="1:7" x14ac:dyDescent="0.3">
      <c r="A7" s="1">
        <v>34851</v>
      </c>
      <c r="B7">
        <v>12.69</v>
      </c>
      <c r="C7">
        <v>13.14</v>
      </c>
      <c r="D7">
        <v>12.69</v>
      </c>
      <c r="E7">
        <v>13.14</v>
      </c>
      <c r="F7">
        <v>2.3050709999999999</v>
      </c>
      <c r="G7">
        <v>0</v>
      </c>
    </row>
    <row r="8" spans="1:7" x14ac:dyDescent="0.3">
      <c r="A8" s="1">
        <v>34881</v>
      </c>
      <c r="B8">
        <v>13.16</v>
      </c>
      <c r="C8">
        <v>13.85</v>
      </c>
      <c r="D8">
        <v>13.16</v>
      </c>
      <c r="E8">
        <v>13.85</v>
      </c>
      <c r="F8">
        <v>2.4296229999999999</v>
      </c>
      <c r="G8">
        <v>0</v>
      </c>
    </row>
    <row r="9" spans="1:7" x14ac:dyDescent="0.3">
      <c r="A9" s="1">
        <v>34912</v>
      </c>
      <c r="B9">
        <v>13.82</v>
      </c>
      <c r="C9">
        <v>14.29</v>
      </c>
      <c r="D9">
        <v>13.8</v>
      </c>
      <c r="E9">
        <v>14.29</v>
      </c>
      <c r="F9">
        <v>2.5068100000000002</v>
      </c>
      <c r="G9">
        <v>0</v>
      </c>
    </row>
    <row r="10" spans="1:7" x14ac:dyDescent="0.3">
      <c r="A10" s="1">
        <v>34943</v>
      </c>
      <c r="B10">
        <v>14.33</v>
      </c>
      <c r="C10">
        <v>14.69</v>
      </c>
      <c r="D10">
        <v>14.32</v>
      </c>
      <c r="E10">
        <v>14.47</v>
      </c>
      <c r="F10">
        <v>2.5383849999999999</v>
      </c>
      <c r="G10">
        <v>0</v>
      </c>
    </row>
    <row r="11" spans="1:7" x14ac:dyDescent="0.3">
      <c r="A11" s="1">
        <v>34973</v>
      </c>
      <c r="B11">
        <v>14.39</v>
      </c>
      <c r="C11">
        <v>14.39</v>
      </c>
      <c r="D11">
        <v>13.71</v>
      </c>
      <c r="E11">
        <v>13.76</v>
      </c>
      <c r="F11">
        <v>2.413834</v>
      </c>
      <c r="G11">
        <v>0</v>
      </c>
    </row>
    <row r="12" spans="1:7" x14ac:dyDescent="0.3">
      <c r="A12" s="1">
        <v>35004</v>
      </c>
      <c r="B12">
        <v>13.79</v>
      </c>
      <c r="C12">
        <v>14.15</v>
      </c>
      <c r="D12">
        <v>13.79</v>
      </c>
      <c r="E12">
        <v>14.03</v>
      </c>
      <c r="F12">
        <v>2.461198</v>
      </c>
      <c r="G12">
        <v>0</v>
      </c>
    </row>
    <row r="13" spans="1:7" x14ac:dyDescent="0.3">
      <c r="A13" s="1">
        <v>35034</v>
      </c>
      <c r="B13">
        <v>14.09</v>
      </c>
      <c r="C13">
        <v>14.21</v>
      </c>
      <c r="D13">
        <v>13.9</v>
      </c>
      <c r="E13">
        <v>14.21</v>
      </c>
      <c r="F13">
        <v>2.535784</v>
      </c>
      <c r="G13">
        <v>0</v>
      </c>
    </row>
    <row r="14" spans="1:7" x14ac:dyDescent="0.3">
      <c r="A14" s="1">
        <v>35065</v>
      </c>
      <c r="B14">
        <v>14.27</v>
      </c>
      <c r="C14">
        <v>14.29</v>
      </c>
      <c r="D14">
        <v>13.79</v>
      </c>
      <c r="E14">
        <v>14.16</v>
      </c>
      <c r="F14">
        <v>2.53796</v>
      </c>
      <c r="G14">
        <v>0</v>
      </c>
    </row>
    <row r="15" spans="1:7" x14ac:dyDescent="0.3">
      <c r="A15" s="1">
        <v>35096</v>
      </c>
      <c r="B15">
        <v>14.21</v>
      </c>
      <c r="C15">
        <v>14.48</v>
      </c>
      <c r="D15">
        <v>14.21</v>
      </c>
      <c r="E15">
        <v>14.47</v>
      </c>
      <c r="F15">
        <v>2.593521</v>
      </c>
      <c r="G15">
        <v>0</v>
      </c>
    </row>
    <row r="16" spans="1:7" x14ac:dyDescent="0.3">
      <c r="A16" s="1">
        <v>35125</v>
      </c>
      <c r="B16">
        <v>14.49</v>
      </c>
      <c r="C16">
        <v>14.87</v>
      </c>
      <c r="D16">
        <v>14.32</v>
      </c>
      <c r="E16">
        <v>14.87</v>
      </c>
      <c r="F16">
        <v>2.665216</v>
      </c>
      <c r="G16">
        <v>0</v>
      </c>
    </row>
    <row r="17" spans="1:7" x14ac:dyDescent="0.3">
      <c r="A17" s="1">
        <v>35156</v>
      </c>
      <c r="B17">
        <v>14.93</v>
      </c>
      <c r="C17">
        <v>15.64</v>
      </c>
      <c r="D17">
        <v>14.9</v>
      </c>
      <c r="E17">
        <v>15.64</v>
      </c>
      <c r="F17">
        <v>2.803226</v>
      </c>
      <c r="G17">
        <v>0</v>
      </c>
    </row>
    <row r="18" spans="1:7" x14ac:dyDescent="0.3">
      <c r="A18" s="1">
        <v>35186</v>
      </c>
      <c r="B18">
        <v>15.72</v>
      </c>
      <c r="C18">
        <v>16.299999</v>
      </c>
      <c r="D18">
        <v>15.54</v>
      </c>
      <c r="E18">
        <v>16.25</v>
      </c>
      <c r="F18">
        <v>2.91256</v>
      </c>
      <c r="G18">
        <v>0</v>
      </c>
    </row>
    <row r="19" spans="1:7" x14ac:dyDescent="0.3">
      <c r="A19" s="1">
        <v>35217</v>
      </c>
      <c r="B19">
        <v>16.260000000000002</v>
      </c>
      <c r="C19">
        <v>16.370000999999998</v>
      </c>
      <c r="D19">
        <v>15.74</v>
      </c>
      <c r="E19">
        <v>15.91</v>
      </c>
      <c r="F19">
        <v>2.85162</v>
      </c>
      <c r="G19">
        <v>0</v>
      </c>
    </row>
    <row r="20" spans="1:7" x14ac:dyDescent="0.3">
      <c r="A20" s="1">
        <v>35247</v>
      </c>
      <c r="B20">
        <v>16.010000000000002</v>
      </c>
      <c r="C20">
        <v>16.010000000000002</v>
      </c>
      <c r="D20">
        <v>14.61</v>
      </c>
      <c r="E20">
        <v>14.92</v>
      </c>
      <c r="F20">
        <v>2.6741779999999999</v>
      </c>
      <c r="G20">
        <v>0</v>
      </c>
    </row>
    <row r="21" spans="1:7" x14ac:dyDescent="0.3">
      <c r="A21" s="1">
        <v>35278</v>
      </c>
      <c r="B21">
        <v>15.03</v>
      </c>
      <c r="C21">
        <v>15.64</v>
      </c>
      <c r="D21">
        <v>15.03</v>
      </c>
      <c r="E21">
        <v>15.6</v>
      </c>
      <c r="F21">
        <v>2.7960569999999998</v>
      </c>
      <c r="G21">
        <v>0</v>
      </c>
    </row>
    <row r="22" spans="1:7" x14ac:dyDescent="0.3">
      <c r="A22" s="1">
        <v>35309</v>
      </c>
      <c r="B22">
        <v>15.58</v>
      </c>
      <c r="C22">
        <v>16.120000999999998</v>
      </c>
      <c r="D22">
        <v>15.58</v>
      </c>
      <c r="E22">
        <v>16.120000999999998</v>
      </c>
      <c r="F22">
        <v>2.889259</v>
      </c>
      <c r="G22">
        <v>0</v>
      </c>
    </row>
    <row r="23" spans="1:7" x14ac:dyDescent="0.3">
      <c r="A23" s="1">
        <v>35339</v>
      </c>
      <c r="B23">
        <v>16.100000000000001</v>
      </c>
      <c r="C23">
        <v>16.350000000000001</v>
      </c>
      <c r="D23">
        <v>16.100000000000001</v>
      </c>
      <c r="E23">
        <v>16.239999999999998</v>
      </c>
      <c r="F23">
        <v>2.9107669999999999</v>
      </c>
      <c r="G23">
        <v>0</v>
      </c>
    </row>
    <row r="24" spans="1:7" x14ac:dyDescent="0.3">
      <c r="A24" s="1">
        <v>35370</v>
      </c>
      <c r="B24">
        <v>16.209999</v>
      </c>
      <c r="C24">
        <v>17.010000000000002</v>
      </c>
      <c r="D24">
        <v>16.209999</v>
      </c>
      <c r="E24">
        <v>17.010000000000002</v>
      </c>
      <c r="F24">
        <v>3.048778</v>
      </c>
      <c r="G24">
        <v>0</v>
      </c>
    </row>
    <row r="25" spans="1:7" x14ac:dyDescent="0.3">
      <c r="A25" s="1">
        <v>35400</v>
      </c>
      <c r="B25">
        <v>17.07</v>
      </c>
      <c r="C25">
        <v>17.34</v>
      </c>
      <c r="D25">
        <v>16.829999999999998</v>
      </c>
      <c r="E25">
        <v>16.91</v>
      </c>
      <c r="F25">
        <v>3.030853</v>
      </c>
      <c r="G25">
        <v>0</v>
      </c>
    </row>
    <row r="26" spans="1:7" x14ac:dyDescent="0.3">
      <c r="A26" s="1">
        <v>35431</v>
      </c>
      <c r="B26">
        <v>16.829999999999998</v>
      </c>
      <c r="C26">
        <v>17.360001</v>
      </c>
      <c r="D26">
        <v>16.829999999999998</v>
      </c>
      <c r="E26">
        <v>17.34</v>
      </c>
      <c r="F26">
        <v>3.1949580000000002</v>
      </c>
      <c r="G26">
        <v>0</v>
      </c>
    </row>
    <row r="27" spans="1:7" x14ac:dyDescent="0.3">
      <c r="A27" s="1">
        <v>35462</v>
      </c>
      <c r="B27">
        <v>17.360001</v>
      </c>
      <c r="C27">
        <v>17.549999</v>
      </c>
      <c r="D27">
        <v>17.200001</v>
      </c>
      <c r="E27">
        <v>17.34</v>
      </c>
      <c r="F27">
        <v>3.1949580000000002</v>
      </c>
      <c r="G27">
        <v>0</v>
      </c>
    </row>
    <row r="28" spans="1:7" x14ac:dyDescent="0.3">
      <c r="A28" s="1">
        <v>35490</v>
      </c>
      <c r="B28">
        <v>17.34</v>
      </c>
      <c r="C28">
        <v>17.68</v>
      </c>
      <c r="D28">
        <v>16.879999000000002</v>
      </c>
      <c r="E28">
        <v>16.879999000000002</v>
      </c>
      <c r="F28">
        <v>3.110201</v>
      </c>
      <c r="G28">
        <v>0</v>
      </c>
    </row>
    <row r="29" spans="1:7" x14ac:dyDescent="0.3">
      <c r="A29" s="1">
        <v>35521</v>
      </c>
      <c r="B29">
        <v>16.829999999999998</v>
      </c>
      <c r="C29">
        <v>17</v>
      </c>
      <c r="D29">
        <v>16.579999999999998</v>
      </c>
      <c r="E29">
        <v>16.809999000000001</v>
      </c>
      <c r="F29">
        <v>3.097305</v>
      </c>
      <c r="G29">
        <v>0</v>
      </c>
    </row>
    <row r="30" spans="1:7" x14ac:dyDescent="0.3">
      <c r="A30" s="1">
        <v>35551</v>
      </c>
      <c r="B30">
        <v>16.93</v>
      </c>
      <c r="C30">
        <v>18.399999999999999</v>
      </c>
      <c r="D30">
        <v>16.93</v>
      </c>
      <c r="E30">
        <v>18.399999999999999</v>
      </c>
      <c r="F30">
        <v>3.390269</v>
      </c>
      <c r="G30">
        <v>0</v>
      </c>
    </row>
    <row r="31" spans="1:7" x14ac:dyDescent="0.3">
      <c r="A31" s="1">
        <v>35582</v>
      </c>
      <c r="B31">
        <v>18.52</v>
      </c>
      <c r="C31">
        <v>19.549999</v>
      </c>
      <c r="D31">
        <v>18.52</v>
      </c>
      <c r="E31">
        <v>19.549999</v>
      </c>
      <c r="F31">
        <v>3.6021589999999999</v>
      </c>
      <c r="G31">
        <v>0</v>
      </c>
    </row>
    <row r="32" spans="1:7" x14ac:dyDescent="0.3">
      <c r="A32" s="1">
        <v>35612</v>
      </c>
      <c r="B32">
        <v>19.579999999999998</v>
      </c>
      <c r="C32">
        <v>20.719999000000001</v>
      </c>
      <c r="D32">
        <v>19.579999999999998</v>
      </c>
      <c r="E32">
        <v>20.719999000000001</v>
      </c>
      <c r="F32">
        <v>3.817736</v>
      </c>
      <c r="G32">
        <v>0</v>
      </c>
    </row>
    <row r="33" spans="1:7" x14ac:dyDescent="0.3">
      <c r="A33" s="1">
        <v>35643</v>
      </c>
      <c r="B33">
        <v>20.700001</v>
      </c>
      <c r="C33">
        <v>21.450001</v>
      </c>
      <c r="D33">
        <v>20.66</v>
      </c>
      <c r="E33">
        <v>21.450001</v>
      </c>
      <c r="F33">
        <v>3.9522439999999999</v>
      </c>
      <c r="G33">
        <v>0</v>
      </c>
    </row>
    <row r="34" spans="1:7" x14ac:dyDescent="0.3">
      <c r="A34" s="1">
        <v>35674</v>
      </c>
      <c r="B34">
        <v>21.68</v>
      </c>
      <c r="C34">
        <v>23.1</v>
      </c>
      <c r="D34">
        <v>21.68</v>
      </c>
      <c r="E34">
        <v>23.1</v>
      </c>
      <c r="F34">
        <v>4.2562620000000004</v>
      </c>
      <c r="G34">
        <v>0</v>
      </c>
    </row>
    <row r="35" spans="1:7" x14ac:dyDescent="0.3">
      <c r="A35" s="1">
        <v>35704</v>
      </c>
      <c r="B35">
        <v>23.15</v>
      </c>
      <c r="C35">
        <v>23.690000999999999</v>
      </c>
      <c r="D35">
        <v>21.75</v>
      </c>
      <c r="E35">
        <v>22.280000999999999</v>
      </c>
      <c r="F35">
        <v>4.1051710000000003</v>
      </c>
      <c r="G35">
        <v>0</v>
      </c>
    </row>
    <row r="36" spans="1:7" x14ac:dyDescent="0.3">
      <c r="A36" s="1">
        <v>35735</v>
      </c>
      <c r="B36">
        <v>22.639999</v>
      </c>
      <c r="C36">
        <v>22.780000999999999</v>
      </c>
      <c r="D36">
        <v>21.940000999999999</v>
      </c>
      <c r="E36">
        <v>22.09</v>
      </c>
      <c r="F36">
        <v>4.0701660000000004</v>
      </c>
      <c r="G36">
        <v>0</v>
      </c>
    </row>
    <row r="37" spans="1:7" x14ac:dyDescent="0.3">
      <c r="A37" s="1">
        <v>35765</v>
      </c>
      <c r="B37">
        <v>22.25</v>
      </c>
      <c r="C37">
        <v>22.43</v>
      </c>
      <c r="D37">
        <v>20.48</v>
      </c>
      <c r="E37">
        <v>21.07</v>
      </c>
      <c r="F37">
        <v>3.882225</v>
      </c>
      <c r="G37">
        <v>0</v>
      </c>
    </row>
    <row r="38" spans="1:7" x14ac:dyDescent="0.3">
      <c r="A38" s="1">
        <v>35796</v>
      </c>
      <c r="B38">
        <v>21.129999000000002</v>
      </c>
      <c r="C38">
        <v>21.16</v>
      </c>
      <c r="D38">
        <v>20.110001</v>
      </c>
      <c r="E38">
        <v>20.809999000000001</v>
      </c>
      <c r="F38">
        <v>4.0241889999999998</v>
      </c>
      <c r="G38">
        <v>0</v>
      </c>
    </row>
    <row r="39" spans="1:7" x14ac:dyDescent="0.3">
      <c r="A39" s="1">
        <v>35827</v>
      </c>
      <c r="B39">
        <v>20.92</v>
      </c>
      <c r="C39">
        <v>22.379999000000002</v>
      </c>
      <c r="D39">
        <v>20.92</v>
      </c>
      <c r="E39">
        <v>22.379999000000002</v>
      </c>
      <c r="F39">
        <v>4.3277929999999998</v>
      </c>
      <c r="G39">
        <v>0</v>
      </c>
    </row>
    <row r="40" spans="1:7" x14ac:dyDescent="0.3">
      <c r="A40" s="1">
        <v>35855</v>
      </c>
      <c r="B40">
        <v>22.43</v>
      </c>
      <c r="C40">
        <v>23.290001</v>
      </c>
      <c r="D40">
        <v>22.280000999999999</v>
      </c>
      <c r="E40">
        <v>23.290001</v>
      </c>
      <c r="F40">
        <v>4.5037649999999996</v>
      </c>
      <c r="G40">
        <v>0</v>
      </c>
    </row>
    <row r="41" spans="1:7" x14ac:dyDescent="0.3">
      <c r="A41" s="1">
        <v>35886</v>
      </c>
      <c r="B41">
        <v>23.459999</v>
      </c>
      <c r="C41">
        <v>24.120000999999998</v>
      </c>
      <c r="D41">
        <v>23.15</v>
      </c>
      <c r="E41">
        <v>23.74</v>
      </c>
      <c r="F41">
        <v>4.5907859999999996</v>
      </c>
      <c r="G41">
        <v>0</v>
      </c>
    </row>
    <row r="42" spans="1:7" x14ac:dyDescent="0.3">
      <c r="A42" s="1">
        <v>35916</v>
      </c>
      <c r="B42">
        <v>23.83</v>
      </c>
      <c r="C42">
        <v>23.870000999999998</v>
      </c>
      <c r="D42">
        <v>22.540001</v>
      </c>
      <c r="E42">
        <v>22.83</v>
      </c>
      <c r="F42">
        <v>4.4148129999999997</v>
      </c>
      <c r="G42">
        <v>0</v>
      </c>
    </row>
    <row r="43" spans="1:7" x14ac:dyDescent="0.3">
      <c r="A43" s="1">
        <v>35947</v>
      </c>
      <c r="B43">
        <v>22.65</v>
      </c>
      <c r="C43">
        <v>22.74</v>
      </c>
      <c r="D43">
        <v>21.690000999999999</v>
      </c>
      <c r="E43">
        <v>22.379999000000002</v>
      </c>
      <c r="F43">
        <v>4.3277929999999998</v>
      </c>
      <c r="G43">
        <v>0</v>
      </c>
    </row>
    <row r="44" spans="1:7" x14ac:dyDescent="0.3">
      <c r="A44" s="1">
        <v>35977</v>
      </c>
      <c r="B44">
        <v>22.540001</v>
      </c>
      <c r="C44">
        <v>22.6</v>
      </c>
      <c r="D44">
        <v>20.73</v>
      </c>
      <c r="E44">
        <v>20.73</v>
      </c>
      <c r="F44">
        <v>4.008718</v>
      </c>
      <c r="G44">
        <v>0</v>
      </c>
    </row>
    <row r="45" spans="1:7" x14ac:dyDescent="0.3">
      <c r="A45" s="1">
        <v>36008</v>
      </c>
      <c r="B45">
        <v>20.49</v>
      </c>
      <c r="C45">
        <v>20.6</v>
      </c>
      <c r="D45">
        <v>16.91</v>
      </c>
      <c r="E45">
        <v>16.91</v>
      </c>
      <c r="F45">
        <v>3.270016</v>
      </c>
      <c r="G45">
        <v>0</v>
      </c>
    </row>
    <row r="46" spans="1:7" x14ac:dyDescent="0.3">
      <c r="A46" s="1">
        <v>36039</v>
      </c>
      <c r="B46">
        <v>17.200001</v>
      </c>
      <c r="C46">
        <v>17.93</v>
      </c>
      <c r="D46">
        <v>17.030000999999999</v>
      </c>
      <c r="E46">
        <v>17.389999</v>
      </c>
      <c r="F46">
        <v>3.362838</v>
      </c>
      <c r="G46">
        <v>0</v>
      </c>
    </row>
    <row r="47" spans="1:7" x14ac:dyDescent="0.3">
      <c r="A47" s="1">
        <v>36069</v>
      </c>
      <c r="B47">
        <v>16.950001</v>
      </c>
      <c r="C47">
        <v>18.129999000000002</v>
      </c>
      <c r="D47">
        <v>15.22</v>
      </c>
      <c r="E47">
        <v>18.129999000000002</v>
      </c>
      <c r="F47">
        <v>3.5059369999999999</v>
      </c>
      <c r="G47">
        <v>0</v>
      </c>
    </row>
    <row r="48" spans="1:7" x14ac:dyDescent="0.3">
      <c r="A48" s="1">
        <v>36100</v>
      </c>
      <c r="B48">
        <v>18.450001</v>
      </c>
      <c r="C48">
        <v>19.219999000000001</v>
      </c>
      <c r="D48">
        <v>18.450001</v>
      </c>
      <c r="E48">
        <v>19.09</v>
      </c>
      <c r="F48">
        <v>3.6915789999999999</v>
      </c>
      <c r="G48">
        <v>0</v>
      </c>
    </row>
    <row r="49" spans="1:7" x14ac:dyDescent="0.3">
      <c r="A49" s="1">
        <v>36130</v>
      </c>
      <c r="B49">
        <v>19.100000000000001</v>
      </c>
      <c r="C49">
        <v>19.110001</v>
      </c>
      <c r="D49">
        <v>17.100000000000001</v>
      </c>
      <c r="E49">
        <v>17.93</v>
      </c>
      <c r="F49">
        <v>3.4672610000000001</v>
      </c>
      <c r="G49">
        <v>0</v>
      </c>
    </row>
    <row r="50" spans="1:7" x14ac:dyDescent="0.3">
      <c r="A50" s="1">
        <v>36161</v>
      </c>
      <c r="B50">
        <v>18.030000999999999</v>
      </c>
      <c r="C50">
        <v>18.649999999999999</v>
      </c>
      <c r="D50">
        <v>18.030000999999999</v>
      </c>
      <c r="E50">
        <v>18.209999</v>
      </c>
      <c r="F50">
        <v>3.8377859999999999</v>
      </c>
      <c r="G50">
        <v>0</v>
      </c>
    </row>
    <row r="51" spans="1:7" x14ac:dyDescent="0.3">
      <c r="A51" s="1">
        <v>36192</v>
      </c>
      <c r="B51">
        <v>18.18</v>
      </c>
      <c r="C51">
        <v>18.18</v>
      </c>
      <c r="D51">
        <v>16.709999</v>
      </c>
      <c r="E51">
        <v>16.709999</v>
      </c>
      <c r="F51">
        <v>3.5216599999999998</v>
      </c>
      <c r="G51">
        <v>0</v>
      </c>
    </row>
    <row r="52" spans="1:7" x14ac:dyDescent="0.3">
      <c r="A52" s="1">
        <v>36220</v>
      </c>
      <c r="B52">
        <v>16.760000000000002</v>
      </c>
      <c r="C52">
        <v>16.870000999999998</v>
      </c>
      <c r="D52">
        <v>16.209999</v>
      </c>
      <c r="E52">
        <v>16.389999</v>
      </c>
      <c r="F52">
        <v>3.4542199999999998</v>
      </c>
      <c r="G52">
        <v>0</v>
      </c>
    </row>
    <row r="53" spans="1:7" x14ac:dyDescent="0.3">
      <c r="A53" s="1">
        <v>36251</v>
      </c>
      <c r="B53">
        <v>16.489999999999998</v>
      </c>
      <c r="C53">
        <v>18.16</v>
      </c>
      <c r="D53">
        <v>16.370000999999998</v>
      </c>
      <c r="E53">
        <v>18.139999</v>
      </c>
      <c r="F53">
        <v>3.8230360000000001</v>
      </c>
      <c r="G53">
        <v>0</v>
      </c>
    </row>
    <row r="54" spans="1:7" x14ac:dyDescent="0.3">
      <c r="A54" s="1">
        <v>36281</v>
      </c>
      <c r="B54">
        <v>18.27</v>
      </c>
      <c r="C54">
        <v>19.239999999999998</v>
      </c>
      <c r="D54">
        <v>18.27</v>
      </c>
      <c r="E54">
        <v>18.989999999999998</v>
      </c>
      <c r="F54">
        <v>4.0021740000000001</v>
      </c>
      <c r="G54">
        <v>0</v>
      </c>
    </row>
    <row r="55" spans="1:7" x14ac:dyDescent="0.3">
      <c r="A55" s="1">
        <v>36312</v>
      </c>
      <c r="B55">
        <v>19.010000000000002</v>
      </c>
      <c r="C55">
        <v>20.149999999999999</v>
      </c>
      <c r="D55">
        <v>18.93</v>
      </c>
      <c r="E55">
        <v>20.149999999999999</v>
      </c>
      <c r="F55">
        <v>4.2466439999999999</v>
      </c>
      <c r="G55">
        <v>0</v>
      </c>
    </row>
    <row r="56" spans="1:7" x14ac:dyDescent="0.3">
      <c r="A56" s="1">
        <v>36342</v>
      </c>
      <c r="B56">
        <v>20.129999000000002</v>
      </c>
      <c r="C56">
        <v>20.66</v>
      </c>
      <c r="D56">
        <v>19.920000000000002</v>
      </c>
      <c r="E56">
        <v>20.059999000000001</v>
      </c>
      <c r="F56">
        <v>4.2276800000000003</v>
      </c>
      <c r="G56">
        <v>0</v>
      </c>
    </row>
    <row r="57" spans="1:7" x14ac:dyDescent="0.3">
      <c r="A57" s="1">
        <v>36373</v>
      </c>
      <c r="B57">
        <v>20.02</v>
      </c>
      <c r="C57">
        <v>20.02</v>
      </c>
      <c r="D57">
        <v>19.329999999999998</v>
      </c>
      <c r="E57">
        <v>19.510000000000002</v>
      </c>
      <c r="F57">
        <v>4.1117629999999998</v>
      </c>
      <c r="G57">
        <v>0</v>
      </c>
    </row>
    <row r="58" spans="1:7" x14ac:dyDescent="0.3">
      <c r="A58" s="1">
        <v>36404</v>
      </c>
      <c r="B58">
        <v>19.629999000000002</v>
      </c>
      <c r="C58">
        <v>19.98</v>
      </c>
      <c r="D58">
        <v>18.860001</v>
      </c>
      <c r="E58">
        <v>18.989999999999998</v>
      </c>
      <c r="F58">
        <v>4.0021740000000001</v>
      </c>
      <c r="G58">
        <v>0</v>
      </c>
    </row>
    <row r="59" spans="1:7" x14ac:dyDescent="0.3">
      <c r="A59" s="1">
        <v>36434</v>
      </c>
      <c r="B59">
        <v>18.879999000000002</v>
      </c>
      <c r="C59">
        <v>18.940000999999999</v>
      </c>
      <c r="D59">
        <v>18.079999999999998</v>
      </c>
      <c r="E59">
        <v>18.34</v>
      </c>
      <c r="F59">
        <v>3.8651879999999998</v>
      </c>
      <c r="G59">
        <v>0</v>
      </c>
    </row>
    <row r="60" spans="1:7" x14ac:dyDescent="0.3">
      <c r="A60" s="1">
        <v>36465</v>
      </c>
      <c r="B60">
        <v>18.41</v>
      </c>
      <c r="C60">
        <v>19.489999999999998</v>
      </c>
      <c r="D60">
        <v>18.41</v>
      </c>
      <c r="E60">
        <v>19.170000000000002</v>
      </c>
      <c r="F60">
        <v>4.040108</v>
      </c>
      <c r="G60">
        <v>0</v>
      </c>
    </row>
    <row r="61" spans="1:7" x14ac:dyDescent="0.3">
      <c r="A61" s="1">
        <v>36495</v>
      </c>
      <c r="B61">
        <v>19.170000000000002</v>
      </c>
      <c r="C61">
        <v>19.34</v>
      </c>
      <c r="D61">
        <v>17.540001</v>
      </c>
      <c r="E61">
        <v>18.57</v>
      </c>
      <c r="F61">
        <v>3.913659</v>
      </c>
      <c r="G61">
        <v>0</v>
      </c>
    </row>
    <row r="62" spans="1:7" x14ac:dyDescent="0.3">
      <c r="A62" s="1">
        <v>36526</v>
      </c>
      <c r="B62">
        <v>18.309999000000001</v>
      </c>
      <c r="C62">
        <v>19.329999999999998</v>
      </c>
      <c r="D62">
        <v>17.93</v>
      </c>
      <c r="E62">
        <v>18.43</v>
      </c>
      <c r="F62">
        <v>4.2396739999999999</v>
      </c>
      <c r="G62">
        <v>0</v>
      </c>
    </row>
    <row r="63" spans="1:7" x14ac:dyDescent="0.3">
      <c r="A63" s="1">
        <v>36557</v>
      </c>
      <c r="B63">
        <v>18.57</v>
      </c>
      <c r="C63">
        <v>20.139999</v>
      </c>
      <c r="D63">
        <v>18.57</v>
      </c>
      <c r="E63">
        <v>20.139999</v>
      </c>
      <c r="F63">
        <v>4.6330470000000004</v>
      </c>
      <c r="G63">
        <v>0</v>
      </c>
    </row>
    <row r="64" spans="1:7" x14ac:dyDescent="0.3">
      <c r="A64" s="1">
        <v>36586</v>
      </c>
      <c r="B64">
        <v>20.329999999999998</v>
      </c>
      <c r="C64">
        <v>20.75</v>
      </c>
      <c r="D64">
        <v>19.920000000000002</v>
      </c>
      <c r="E64">
        <v>20.200001</v>
      </c>
      <c r="F64">
        <v>4.6468480000000003</v>
      </c>
      <c r="G64">
        <v>0</v>
      </c>
    </row>
    <row r="65" spans="1:7" x14ac:dyDescent="0.3">
      <c r="A65" s="1">
        <v>36617</v>
      </c>
      <c r="B65">
        <v>19.850000000000001</v>
      </c>
      <c r="C65">
        <v>20.149999999999999</v>
      </c>
      <c r="D65">
        <v>18.040001</v>
      </c>
      <c r="E65">
        <v>19.489999999999998</v>
      </c>
      <c r="F65">
        <v>4.4835180000000001</v>
      </c>
      <c r="G65">
        <v>0</v>
      </c>
    </row>
    <row r="66" spans="1:7" x14ac:dyDescent="0.3">
      <c r="A66" s="1">
        <v>36647</v>
      </c>
      <c r="B66">
        <v>19.700001</v>
      </c>
      <c r="C66">
        <v>19.700001</v>
      </c>
      <c r="D66">
        <v>18.32</v>
      </c>
      <c r="E66">
        <v>18.68</v>
      </c>
      <c r="F66">
        <v>4.2971849999999998</v>
      </c>
      <c r="G66">
        <v>0</v>
      </c>
    </row>
    <row r="67" spans="1:7" x14ac:dyDescent="0.3">
      <c r="A67" s="1">
        <v>36678</v>
      </c>
      <c r="B67">
        <v>18.920000000000002</v>
      </c>
      <c r="C67">
        <v>19.610001</v>
      </c>
      <c r="D67">
        <v>18.920000000000002</v>
      </c>
      <c r="E67">
        <v>19.610001</v>
      </c>
      <c r="F67">
        <v>4.5111239999999997</v>
      </c>
      <c r="G67">
        <v>0</v>
      </c>
    </row>
    <row r="68" spans="1:7" x14ac:dyDescent="0.3">
      <c r="A68" s="1">
        <v>36708</v>
      </c>
      <c r="B68">
        <v>19.780000999999999</v>
      </c>
      <c r="C68">
        <v>20.469999000000001</v>
      </c>
      <c r="D68">
        <v>19.329999999999998</v>
      </c>
      <c r="E68">
        <v>19.59</v>
      </c>
      <c r="F68">
        <v>4.5065229999999996</v>
      </c>
      <c r="G68">
        <v>0</v>
      </c>
    </row>
    <row r="69" spans="1:7" x14ac:dyDescent="0.3">
      <c r="A69" s="1">
        <v>36739</v>
      </c>
      <c r="B69">
        <v>19.59</v>
      </c>
      <c r="C69">
        <v>21.040001</v>
      </c>
      <c r="D69">
        <v>19.59</v>
      </c>
      <c r="E69">
        <v>21.040001</v>
      </c>
      <c r="F69">
        <v>4.8400829999999999</v>
      </c>
      <c r="G69">
        <v>0</v>
      </c>
    </row>
    <row r="70" spans="1:7" x14ac:dyDescent="0.3">
      <c r="A70" s="1">
        <v>36770</v>
      </c>
      <c r="B70">
        <v>21.1</v>
      </c>
      <c r="C70">
        <v>21.25</v>
      </c>
      <c r="D70">
        <v>20.190000999999999</v>
      </c>
      <c r="E70">
        <v>20.65</v>
      </c>
      <c r="F70">
        <v>4.7503669999999998</v>
      </c>
      <c r="G70">
        <v>0</v>
      </c>
    </row>
    <row r="71" spans="1:7" x14ac:dyDescent="0.3">
      <c r="A71" s="1">
        <v>36800</v>
      </c>
      <c r="B71">
        <v>20.420000000000002</v>
      </c>
      <c r="C71">
        <v>20.420000000000002</v>
      </c>
      <c r="D71">
        <v>18.91</v>
      </c>
      <c r="E71">
        <v>19.870000999999998</v>
      </c>
      <c r="F71">
        <v>4.5709359999999997</v>
      </c>
      <c r="G71">
        <v>0</v>
      </c>
    </row>
    <row r="72" spans="1:7" x14ac:dyDescent="0.3">
      <c r="A72" s="1">
        <v>36831</v>
      </c>
      <c r="B72">
        <v>19.809999000000001</v>
      </c>
      <c r="C72">
        <v>20.18</v>
      </c>
      <c r="D72">
        <v>18.790001</v>
      </c>
      <c r="E72">
        <v>18.790001</v>
      </c>
      <c r="F72">
        <v>4.3224900000000002</v>
      </c>
      <c r="G72">
        <v>0</v>
      </c>
    </row>
    <row r="73" spans="1:7" x14ac:dyDescent="0.3">
      <c r="A73" s="1">
        <v>36861</v>
      </c>
      <c r="B73">
        <v>19.09</v>
      </c>
      <c r="C73">
        <v>19.91</v>
      </c>
      <c r="D73">
        <v>17.079999999999998</v>
      </c>
      <c r="E73">
        <v>18.420000000000002</v>
      </c>
      <c r="F73">
        <v>4.2373750000000001</v>
      </c>
      <c r="G73">
        <v>0</v>
      </c>
    </row>
    <row r="74" spans="1:7" x14ac:dyDescent="0.3">
      <c r="A74" s="1">
        <v>36892</v>
      </c>
      <c r="B74">
        <v>18.110001</v>
      </c>
      <c r="C74">
        <v>20.32</v>
      </c>
      <c r="D74">
        <v>18.110001</v>
      </c>
      <c r="E74">
        <v>20.32</v>
      </c>
      <c r="F74">
        <v>5.1413900000000003</v>
      </c>
      <c r="G74">
        <v>0</v>
      </c>
    </row>
    <row r="75" spans="1:7" x14ac:dyDescent="0.3">
      <c r="A75" s="1">
        <v>36923</v>
      </c>
      <c r="B75">
        <v>20.459999</v>
      </c>
      <c r="C75">
        <v>20.879999000000002</v>
      </c>
      <c r="D75">
        <v>19.93</v>
      </c>
      <c r="E75">
        <v>19.93</v>
      </c>
      <c r="F75">
        <v>5.0427119999999999</v>
      </c>
      <c r="G75">
        <v>0</v>
      </c>
    </row>
    <row r="76" spans="1:7" x14ac:dyDescent="0.3">
      <c r="A76" s="1">
        <v>36951</v>
      </c>
      <c r="B76">
        <v>19.850000000000001</v>
      </c>
      <c r="C76">
        <v>20.5</v>
      </c>
      <c r="D76">
        <v>18.780000999999999</v>
      </c>
      <c r="E76">
        <v>19.440000999999999</v>
      </c>
      <c r="F76">
        <v>4.9187310000000002</v>
      </c>
      <c r="G76">
        <v>0</v>
      </c>
    </row>
    <row r="77" spans="1:7" x14ac:dyDescent="0.3">
      <c r="A77" s="1">
        <v>36982</v>
      </c>
      <c r="B77">
        <v>18.989999999999998</v>
      </c>
      <c r="C77">
        <v>20.629999000000002</v>
      </c>
      <c r="D77">
        <v>18.459999</v>
      </c>
      <c r="E77">
        <v>20.629999000000002</v>
      </c>
      <c r="F77">
        <v>5.21983</v>
      </c>
      <c r="G77">
        <v>0</v>
      </c>
    </row>
    <row r="78" spans="1:7" x14ac:dyDescent="0.3">
      <c r="A78" s="1">
        <v>37012</v>
      </c>
      <c r="B78">
        <v>20.84</v>
      </c>
      <c r="C78">
        <v>22.34</v>
      </c>
      <c r="D78">
        <v>20.75</v>
      </c>
      <c r="E78">
        <v>21.9</v>
      </c>
      <c r="F78">
        <v>5.5411619999999999</v>
      </c>
      <c r="G78">
        <v>0</v>
      </c>
    </row>
    <row r="79" spans="1:7" x14ac:dyDescent="0.3">
      <c r="A79" s="1">
        <v>37043</v>
      </c>
      <c r="B79">
        <v>22.16</v>
      </c>
      <c r="C79">
        <v>22.610001</v>
      </c>
      <c r="D79">
        <v>21.540001</v>
      </c>
      <c r="E79">
        <v>22.040001</v>
      </c>
      <c r="F79">
        <v>5.5765859999999998</v>
      </c>
      <c r="G79">
        <v>0</v>
      </c>
    </row>
    <row r="80" spans="1:7" x14ac:dyDescent="0.3">
      <c r="A80" s="1">
        <v>37073</v>
      </c>
      <c r="B80">
        <v>22.299999</v>
      </c>
      <c r="C80">
        <v>22.59</v>
      </c>
      <c r="D80">
        <v>21.82</v>
      </c>
      <c r="E80">
        <v>22.35</v>
      </c>
      <c r="F80">
        <v>5.6550209999999996</v>
      </c>
      <c r="G80">
        <v>0</v>
      </c>
    </row>
    <row r="81" spans="1:7" x14ac:dyDescent="0.3">
      <c r="A81" s="1">
        <v>37104</v>
      </c>
      <c r="B81">
        <v>22.469999000000001</v>
      </c>
      <c r="C81">
        <v>22.469999000000001</v>
      </c>
      <c r="D81">
        <v>21.98</v>
      </c>
      <c r="E81">
        <v>22.049999</v>
      </c>
      <c r="F81">
        <v>5.5791170000000001</v>
      </c>
      <c r="G81">
        <v>0</v>
      </c>
    </row>
    <row r="82" spans="1:7" x14ac:dyDescent="0.3">
      <c r="A82" s="1">
        <v>37135</v>
      </c>
      <c r="B82">
        <v>22.1</v>
      </c>
      <c r="C82">
        <v>22.1</v>
      </c>
      <c r="D82">
        <v>17.68</v>
      </c>
      <c r="E82">
        <v>18.84</v>
      </c>
      <c r="F82">
        <v>4.7669180000000004</v>
      </c>
      <c r="G82">
        <v>0</v>
      </c>
    </row>
    <row r="83" spans="1:7" x14ac:dyDescent="0.3">
      <c r="A83" s="1">
        <v>37165</v>
      </c>
      <c r="B83">
        <v>18.530000999999999</v>
      </c>
      <c r="C83">
        <v>19.829999999999998</v>
      </c>
      <c r="D83">
        <v>18.530000999999999</v>
      </c>
      <c r="E83">
        <v>19.579999999999998</v>
      </c>
      <c r="F83">
        <v>4.9541539999999999</v>
      </c>
      <c r="G83">
        <v>0</v>
      </c>
    </row>
    <row r="84" spans="1:7" x14ac:dyDescent="0.3">
      <c r="A84" s="1">
        <v>37196</v>
      </c>
      <c r="B84">
        <v>19.82</v>
      </c>
      <c r="C84">
        <v>21.110001</v>
      </c>
      <c r="D84">
        <v>19.739999999999998</v>
      </c>
      <c r="E84">
        <v>21.110001</v>
      </c>
      <c r="F84">
        <v>5.3412750000000004</v>
      </c>
      <c r="G84">
        <v>0</v>
      </c>
    </row>
    <row r="85" spans="1:7" x14ac:dyDescent="0.3">
      <c r="A85" s="1">
        <v>37226</v>
      </c>
      <c r="B85">
        <v>20.98</v>
      </c>
      <c r="C85">
        <v>21.870000999999998</v>
      </c>
      <c r="D85">
        <v>18.129999000000002</v>
      </c>
      <c r="E85">
        <v>18.809999000000001</v>
      </c>
      <c r="F85">
        <v>4.7593269999999999</v>
      </c>
      <c r="G85">
        <v>0</v>
      </c>
    </row>
    <row r="86" spans="1:7" x14ac:dyDescent="0.3">
      <c r="A86" s="1">
        <v>37257</v>
      </c>
      <c r="B86">
        <v>18.790001</v>
      </c>
      <c r="C86">
        <v>19.299999</v>
      </c>
      <c r="D86">
        <v>18.48</v>
      </c>
      <c r="E86">
        <v>19.100000000000001</v>
      </c>
      <c r="F86">
        <v>5.8216279999999996</v>
      </c>
      <c r="G86">
        <v>0</v>
      </c>
    </row>
    <row r="87" spans="1:7" x14ac:dyDescent="0.3">
      <c r="A87" s="1">
        <v>37288</v>
      </c>
      <c r="B87">
        <v>18.98</v>
      </c>
      <c r="C87">
        <v>19.09</v>
      </c>
      <c r="D87">
        <v>18.309999000000001</v>
      </c>
      <c r="E87">
        <v>19.07</v>
      </c>
      <c r="F87">
        <v>5.8124849999999997</v>
      </c>
      <c r="G87">
        <v>0</v>
      </c>
    </row>
    <row r="88" spans="1:7" x14ac:dyDescent="0.3">
      <c r="A88" s="1">
        <v>37316</v>
      </c>
      <c r="B88">
        <v>19.32</v>
      </c>
      <c r="C88">
        <v>20.950001</v>
      </c>
      <c r="D88">
        <v>19.32</v>
      </c>
      <c r="E88">
        <v>20.950001</v>
      </c>
      <c r="F88">
        <v>6.3855040000000001</v>
      </c>
      <c r="G88">
        <v>0</v>
      </c>
    </row>
    <row r="89" spans="1:7" x14ac:dyDescent="0.3">
      <c r="A89" s="1">
        <v>37347</v>
      </c>
      <c r="B89">
        <v>20.889999</v>
      </c>
      <c r="C89">
        <v>22.09</v>
      </c>
      <c r="D89">
        <v>20.73</v>
      </c>
      <c r="E89">
        <v>21.9</v>
      </c>
      <c r="F89">
        <v>6.6750579999999999</v>
      </c>
      <c r="G89">
        <v>0</v>
      </c>
    </row>
    <row r="90" spans="1:7" x14ac:dyDescent="0.3">
      <c r="A90" s="1">
        <v>37377</v>
      </c>
      <c r="B90">
        <v>21.93</v>
      </c>
      <c r="C90">
        <v>22.15</v>
      </c>
      <c r="D90">
        <v>21.17</v>
      </c>
      <c r="E90">
        <v>21.209999</v>
      </c>
      <c r="F90">
        <v>6.4647500000000004</v>
      </c>
      <c r="G90">
        <v>0</v>
      </c>
    </row>
    <row r="91" spans="1:7" x14ac:dyDescent="0.3">
      <c r="A91" s="1">
        <v>37408</v>
      </c>
      <c r="B91">
        <v>20.73</v>
      </c>
      <c r="C91">
        <v>20.77</v>
      </c>
      <c r="D91">
        <v>20.040001</v>
      </c>
      <c r="E91">
        <v>20.77</v>
      </c>
      <c r="F91">
        <v>6.3306420000000001</v>
      </c>
      <c r="G91">
        <v>0</v>
      </c>
    </row>
    <row r="92" spans="1:7" x14ac:dyDescent="0.3">
      <c r="A92" s="1">
        <v>37438</v>
      </c>
      <c r="B92">
        <v>20.389999</v>
      </c>
      <c r="C92">
        <v>20.389999</v>
      </c>
      <c r="D92">
        <v>16.389999</v>
      </c>
      <c r="E92">
        <v>17.530000999999999</v>
      </c>
      <c r="F92">
        <v>5.3430980000000003</v>
      </c>
      <c r="G92">
        <v>0</v>
      </c>
    </row>
    <row r="93" spans="1:7" x14ac:dyDescent="0.3">
      <c r="A93" s="1">
        <v>37469</v>
      </c>
      <c r="B93">
        <v>17.43</v>
      </c>
      <c r="C93">
        <v>18.079999999999998</v>
      </c>
      <c r="D93">
        <v>16.530000999999999</v>
      </c>
      <c r="E93">
        <v>17.309999000000001</v>
      </c>
      <c r="F93">
        <v>5.2760410000000002</v>
      </c>
      <c r="G93">
        <v>0</v>
      </c>
    </row>
    <row r="94" spans="1:7" x14ac:dyDescent="0.3">
      <c r="A94" s="1">
        <v>37500</v>
      </c>
      <c r="B94">
        <v>16.850000000000001</v>
      </c>
      <c r="C94">
        <v>17.399999999999999</v>
      </c>
      <c r="D94">
        <v>15.84</v>
      </c>
      <c r="E94">
        <v>16.049999</v>
      </c>
      <c r="F94">
        <v>4.8919940000000004</v>
      </c>
      <c r="G94">
        <v>0</v>
      </c>
    </row>
    <row r="95" spans="1:7" x14ac:dyDescent="0.3">
      <c r="A95" s="1">
        <v>37530</v>
      </c>
      <c r="B95">
        <v>16.34</v>
      </c>
      <c r="C95">
        <v>16.34</v>
      </c>
      <c r="D95">
        <v>14.57</v>
      </c>
      <c r="E95">
        <v>16.309999000000001</v>
      </c>
      <c r="F95">
        <v>4.9712430000000003</v>
      </c>
      <c r="G95">
        <v>0</v>
      </c>
    </row>
    <row r="96" spans="1:7" x14ac:dyDescent="0.3">
      <c r="A96" s="1">
        <v>37561</v>
      </c>
      <c r="B96">
        <v>16.68</v>
      </c>
      <c r="C96">
        <v>17.82</v>
      </c>
      <c r="D96">
        <v>16.18</v>
      </c>
      <c r="E96">
        <v>17.82</v>
      </c>
      <c r="F96">
        <v>5.4314869999999997</v>
      </c>
      <c r="G96">
        <v>0</v>
      </c>
    </row>
    <row r="97" spans="1:7" x14ac:dyDescent="0.3">
      <c r="A97" s="1">
        <v>37591</v>
      </c>
      <c r="B97">
        <v>17.799999</v>
      </c>
      <c r="C97">
        <v>17.799999</v>
      </c>
      <c r="D97">
        <v>15.26</v>
      </c>
      <c r="E97">
        <v>15.37</v>
      </c>
      <c r="F97">
        <v>4.6847320000000003</v>
      </c>
      <c r="G97">
        <v>0</v>
      </c>
    </row>
    <row r="98" spans="1:7" x14ac:dyDescent="0.3">
      <c r="A98" s="1">
        <v>37622</v>
      </c>
      <c r="B98">
        <v>15.73</v>
      </c>
      <c r="C98">
        <v>15.92</v>
      </c>
      <c r="D98">
        <v>14.67</v>
      </c>
      <c r="E98">
        <v>14.84</v>
      </c>
      <c r="F98">
        <v>5.031968</v>
      </c>
      <c r="G98">
        <v>0</v>
      </c>
    </row>
    <row r="99" spans="1:7" x14ac:dyDescent="0.3">
      <c r="A99" s="1">
        <v>37653</v>
      </c>
      <c r="B99">
        <v>14.79</v>
      </c>
      <c r="C99">
        <v>14.79</v>
      </c>
      <c r="D99">
        <v>14.1</v>
      </c>
      <c r="E99">
        <v>14.23</v>
      </c>
      <c r="F99">
        <v>4.8251309999999998</v>
      </c>
      <c r="G99">
        <v>0</v>
      </c>
    </row>
    <row r="100" spans="1:7" x14ac:dyDescent="0.3">
      <c r="A100" s="1">
        <v>37681</v>
      </c>
      <c r="B100">
        <v>14.18</v>
      </c>
      <c r="C100">
        <v>14.64</v>
      </c>
      <c r="D100">
        <v>13.55</v>
      </c>
      <c r="E100">
        <v>14.2</v>
      </c>
      <c r="F100">
        <v>4.8149579999999998</v>
      </c>
      <c r="G100">
        <v>0</v>
      </c>
    </row>
    <row r="101" spans="1:7" x14ac:dyDescent="0.3">
      <c r="A101" s="1">
        <v>37712</v>
      </c>
      <c r="B101">
        <v>14.37</v>
      </c>
      <c r="C101">
        <v>15.7</v>
      </c>
      <c r="D101">
        <v>14.37</v>
      </c>
      <c r="E101">
        <v>15.7</v>
      </c>
      <c r="F101">
        <v>5.3235809999999999</v>
      </c>
      <c r="G101">
        <v>0</v>
      </c>
    </row>
    <row r="102" spans="1:7" x14ac:dyDescent="0.3">
      <c r="A102" s="1">
        <v>37742</v>
      </c>
      <c r="B102">
        <v>15.76</v>
      </c>
      <c r="C102">
        <v>17.540001</v>
      </c>
      <c r="D102">
        <v>15.76</v>
      </c>
      <c r="E102">
        <v>17.540001</v>
      </c>
      <c r="F102">
        <v>5.9474869999999997</v>
      </c>
      <c r="G102">
        <v>0</v>
      </c>
    </row>
    <row r="103" spans="1:7" x14ac:dyDescent="0.3">
      <c r="A103" s="1">
        <v>37773</v>
      </c>
      <c r="B103">
        <v>17.670000000000002</v>
      </c>
      <c r="C103">
        <v>18.459999</v>
      </c>
      <c r="D103">
        <v>17.670000000000002</v>
      </c>
      <c r="E103">
        <v>18.18</v>
      </c>
      <c r="F103">
        <v>6.164504</v>
      </c>
      <c r="G103">
        <v>0</v>
      </c>
    </row>
    <row r="104" spans="1:7" x14ac:dyDescent="0.3">
      <c r="A104" s="1">
        <v>37803</v>
      </c>
      <c r="B104">
        <v>18.27</v>
      </c>
      <c r="C104">
        <v>19.579999999999998</v>
      </c>
      <c r="D104">
        <v>18.27</v>
      </c>
      <c r="E104">
        <v>19.459999</v>
      </c>
      <c r="F104">
        <v>6.5985240000000003</v>
      </c>
      <c r="G104">
        <v>0</v>
      </c>
    </row>
    <row r="105" spans="1:7" x14ac:dyDescent="0.3">
      <c r="A105" s="1">
        <v>37834</v>
      </c>
      <c r="B105">
        <v>19.149999999999999</v>
      </c>
      <c r="C105">
        <v>20.459999</v>
      </c>
      <c r="D105">
        <v>18.629999000000002</v>
      </c>
      <c r="E105">
        <v>20.459999</v>
      </c>
      <c r="F105">
        <v>6.937608</v>
      </c>
      <c r="G105">
        <v>0</v>
      </c>
    </row>
    <row r="106" spans="1:7" x14ac:dyDescent="0.3">
      <c r="A106" s="1">
        <v>37865</v>
      </c>
      <c r="B106">
        <v>20.85</v>
      </c>
      <c r="C106">
        <v>21.469999000000001</v>
      </c>
      <c r="D106">
        <v>20.200001</v>
      </c>
      <c r="E106">
        <v>20.299999</v>
      </c>
      <c r="F106">
        <v>6.8833529999999996</v>
      </c>
      <c r="G106">
        <v>0</v>
      </c>
    </row>
    <row r="107" spans="1:7" x14ac:dyDescent="0.3">
      <c r="A107" s="1">
        <v>37895</v>
      </c>
      <c r="B107">
        <v>20.870000999999998</v>
      </c>
      <c r="C107">
        <v>22.389999</v>
      </c>
      <c r="D107">
        <v>20.870000999999998</v>
      </c>
      <c r="E107">
        <v>22.33</v>
      </c>
      <c r="F107">
        <v>7.5716919999999996</v>
      </c>
      <c r="G107">
        <v>0</v>
      </c>
    </row>
    <row r="108" spans="1:7" x14ac:dyDescent="0.3">
      <c r="A108" s="1">
        <v>37926</v>
      </c>
      <c r="B108">
        <v>22.68</v>
      </c>
      <c r="C108">
        <v>23.26</v>
      </c>
      <c r="D108">
        <v>22.200001</v>
      </c>
      <c r="E108">
        <v>23.26</v>
      </c>
      <c r="F108">
        <v>7.8870360000000002</v>
      </c>
      <c r="G108">
        <v>0</v>
      </c>
    </row>
    <row r="109" spans="1:7" x14ac:dyDescent="0.3">
      <c r="A109" s="1">
        <v>37956</v>
      </c>
      <c r="B109">
        <v>23.629999000000002</v>
      </c>
      <c r="C109">
        <v>24.01</v>
      </c>
      <c r="D109">
        <v>22.58</v>
      </c>
      <c r="E109">
        <v>22.91</v>
      </c>
      <c r="F109">
        <v>7.7683580000000001</v>
      </c>
      <c r="G109">
        <v>0</v>
      </c>
    </row>
    <row r="110" spans="1:7" x14ac:dyDescent="0.3">
      <c r="A110" s="1">
        <v>37987</v>
      </c>
      <c r="B110">
        <v>23.110001</v>
      </c>
      <c r="C110">
        <v>24.92</v>
      </c>
      <c r="D110">
        <v>23.110001</v>
      </c>
      <c r="E110">
        <v>24.030000999999999</v>
      </c>
      <c r="F110">
        <v>8.7170389999999998</v>
      </c>
      <c r="G110">
        <v>0</v>
      </c>
    </row>
    <row r="111" spans="1:7" x14ac:dyDescent="0.3">
      <c r="A111" s="1">
        <v>38018</v>
      </c>
      <c r="B111">
        <v>23.99</v>
      </c>
      <c r="C111">
        <v>24.77</v>
      </c>
      <c r="D111">
        <v>23.4</v>
      </c>
      <c r="E111">
        <v>24.370000999999998</v>
      </c>
      <c r="F111">
        <v>8.8403799999999997</v>
      </c>
      <c r="G111">
        <v>0</v>
      </c>
    </row>
    <row r="112" spans="1:7" x14ac:dyDescent="0.3">
      <c r="A112" s="1">
        <v>38047</v>
      </c>
      <c r="B112">
        <v>24.73</v>
      </c>
      <c r="C112">
        <v>24.92</v>
      </c>
      <c r="D112">
        <v>23.26</v>
      </c>
      <c r="E112">
        <v>24.6</v>
      </c>
      <c r="F112">
        <v>8.9238149999999994</v>
      </c>
      <c r="G112">
        <v>0</v>
      </c>
    </row>
    <row r="113" spans="1:7" x14ac:dyDescent="0.3">
      <c r="A113" s="1">
        <v>38078</v>
      </c>
      <c r="B113">
        <v>24.76</v>
      </c>
      <c r="C113">
        <v>25.34</v>
      </c>
      <c r="D113">
        <v>23.82</v>
      </c>
      <c r="E113">
        <v>23.82</v>
      </c>
      <c r="F113">
        <v>8.6408609999999992</v>
      </c>
      <c r="G113">
        <v>0</v>
      </c>
    </row>
    <row r="114" spans="1:7" x14ac:dyDescent="0.3">
      <c r="A114" s="1">
        <v>38108</v>
      </c>
      <c r="B114">
        <v>23.93</v>
      </c>
      <c r="C114">
        <v>24.1</v>
      </c>
      <c r="D114">
        <v>22.540001</v>
      </c>
      <c r="E114">
        <v>23.91</v>
      </c>
      <c r="F114">
        <v>8.6735100000000003</v>
      </c>
      <c r="G114">
        <v>0</v>
      </c>
    </row>
    <row r="115" spans="1:7" x14ac:dyDescent="0.3">
      <c r="A115" s="1">
        <v>38139</v>
      </c>
      <c r="B115">
        <v>24.15</v>
      </c>
      <c r="C115">
        <v>25.5</v>
      </c>
      <c r="D115">
        <v>23.77</v>
      </c>
      <c r="E115">
        <v>25.5</v>
      </c>
      <c r="F115">
        <v>9.2502899999999997</v>
      </c>
      <c r="G115">
        <v>0</v>
      </c>
    </row>
    <row r="116" spans="1:7" x14ac:dyDescent="0.3">
      <c r="A116" s="1">
        <v>38169</v>
      </c>
      <c r="B116">
        <v>25.18</v>
      </c>
      <c r="C116">
        <v>25.200001</v>
      </c>
      <c r="D116">
        <v>23.389999</v>
      </c>
      <c r="E116">
        <v>24.139999</v>
      </c>
      <c r="F116">
        <v>8.7605269999999997</v>
      </c>
      <c r="G116">
        <v>0</v>
      </c>
    </row>
    <row r="117" spans="1:7" x14ac:dyDescent="0.3">
      <c r="A117" s="1">
        <v>38200</v>
      </c>
      <c r="B117">
        <v>24.120000999999998</v>
      </c>
      <c r="C117">
        <v>24.120000999999998</v>
      </c>
      <c r="D117">
        <v>22.58</v>
      </c>
      <c r="E117">
        <v>23.780000999999999</v>
      </c>
      <c r="F117">
        <v>8.6298809999999992</v>
      </c>
      <c r="G117">
        <v>0</v>
      </c>
    </row>
    <row r="118" spans="1:7" x14ac:dyDescent="0.3">
      <c r="A118" s="1">
        <v>38231</v>
      </c>
      <c r="B118">
        <v>23.959999</v>
      </c>
      <c r="C118">
        <v>25.4</v>
      </c>
      <c r="D118">
        <v>23.959999</v>
      </c>
      <c r="E118">
        <v>24.950001</v>
      </c>
      <c r="F118">
        <v>9.0544799999999999</v>
      </c>
      <c r="G118">
        <v>0</v>
      </c>
    </row>
    <row r="119" spans="1:7" x14ac:dyDescent="0.3">
      <c r="A119" s="1">
        <v>38261</v>
      </c>
      <c r="B119">
        <v>25.49</v>
      </c>
      <c r="C119">
        <v>25.92</v>
      </c>
      <c r="D119">
        <v>24.41</v>
      </c>
      <c r="E119">
        <v>25.190000999999999</v>
      </c>
      <c r="F119">
        <v>9.1423240000000003</v>
      </c>
      <c r="G119">
        <v>0</v>
      </c>
    </row>
    <row r="120" spans="1:7" x14ac:dyDescent="0.3">
      <c r="A120" s="1">
        <v>38292</v>
      </c>
      <c r="B120">
        <v>25.26</v>
      </c>
      <c r="C120">
        <v>27.77</v>
      </c>
      <c r="D120">
        <v>25.219999000000001</v>
      </c>
      <c r="E120">
        <v>27.709999</v>
      </c>
      <c r="F120">
        <v>10.05692</v>
      </c>
      <c r="G120">
        <v>0</v>
      </c>
    </row>
    <row r="121" spans="1:7" x14ac:dyDescent="0.3">
      <c r="A121" s="1">
        <v>38322</v>
      </c>
      <c r="B121">
        <v>28.040001</v>
      </c>
      <c r="C121">
        <v>28.200001</v>
      </c>
      <c r="D121">
        <v>26.18</v>
      </c>
      <c r="E121">
        <v>26.879999000000002</v>
      </c>
      <c r="F121">
        <v>9.7556840000000005</v>
      </c>
      <c r="G121">
        <v>0</v>
      </c>
    </row>
    <row r="122" spans="1:7" x14ac:dyDescent="0.3">
      <c r="A122" s="1">
        <v>38353</v>
      </c>
      <c r="B122">
        <v>26.370000999999998</v>
      </c>
      <c r="C122">
        <v>26.370000999999998</v>
      </c>
      <c r="D122">
        <v>25.059999000000001</v>
      </c>
      <c r="E122">
        <v>25.92</v>
      </c>
      <c r="F122">
        <v>10.045868</v>
      </c>
      <c r="G122">
        <v>0</v>
      </c>
    </row>
    <row r="123" spans="1:7" x14ac:dyDescent="0.3">
      <c r="A123" s="1">
        <v>38384</v>
      </c>
      <c r="B123">
        <v>26.07</v>
      </c>
      <c r="C123">
        <v>26.709999</v>
      </c>
      <c r="D123">
        <v>25.860001</v>
      </c>
      <c r="E123">
        <v>26.620000999999998</v>
      </c>
      <c r="F123">
        <v>10.317164999999999</v>
      </c>
      <c r="G123">
        <v>0</v>
      </c>
    </row>
    <row r="124" spans="1:7" x14ac:dyDescent="0.3">
      <c r="A124" s="1">
        <v>38412</v>
      </c>
      <c r="B124">
        <v>26.860001</v>
      </c>
      <c r="C124">
        <v>27.17</v>
      </c>
      <c r="D124">
        <v>25.65</v>
      </c>
      <c r="E124">
        <v>26.1</v>
      </c>
      <c r="F124">
        <v>10.115629999999999</v>
      </c>
      <c r="G124">
        <v>0</v>
      </c>
    </row>
    <row r="125" spans="1:7" x14ac:dyDescent="0.3">
      <c r="A125" s="1">
        <v>38443</v>
      </c>
      <c r="B125">
        <v>25.98</v>
      </c>
      <c r="C125">
        <v>26.280000999999999</v>
      </c>
      <c r="D125">
        <v>24.049999</v>
      </c>
      <c r="E125">
        <v>24.200001</v>
      </c>
      <c r="F125">
        <v>9.379588</v>
      </c>
      <c r="G125">
        <v>0</v>
      </c>
    </row>
    <row r="126" spans="1:7" x14ac:dyDescent="0.3">
      <c r="A126" s="1">
        <v>38473</v>
      </c>
      <c r="B126">
        <v>24.440000999999999</v>
      </c>
      <c r="C126">
        <v>25.809999000000001</v>
      </c>
      <c r="D126">
        <v>24.18</v>
      </c>
      <c r="E126">
        <v>25.809999000000001</v>
      </c>
      <c r="F126">
        <v>10.003605</v>
      </c>
      <c r="G126">
        <v>0</v>
      </c>
    </row>
    <row r="127" spans="1:7" x14ac:dyDescent="0.3">
      <c r="A127" s="1">
        <v>38504</v>
      </c>
      <c r="B127">
        <v>26.1</v>
      </c>
      <c r="C127">
        <v>27.18</v>
      </c>
      <c r="D127">
        <v>26.049999</v>
      </c>
      <c r="E127">
        <v>26.85</v>
      </c>
      <c r="F127">
        <v>10.406693000000001</v>
      </c>
      <c r="G127">
        <v>0</v>
      </c>
    </row>
    <row r="128" spans="1:7" x14ac:dyDescent="0.3">
      <c r="A128" s="1">
        <v>38534</v>
      </c>
      <c r="B128">
        <v>27.030000999999999</v>
      </c>
      <c r="C128">
        <v>28.879999000000002</v>
      </c>
      <c r="D128">
        <v>27.030000999999999</v>
      </c>
      <c r="E128">
        <v>28.76</v>
      </c>
      <c r="F128">
        <v>11.162297000000001</v>
      </c>
      <c r="G128">
        <v>0</v>
      </c>
    </row>
    <row r="129" spans="1:7" x14ac:dyDescent="0.3">
      <c r="A129" s="1">
        <v>38565</v>
      </c>
      <c r="B129">
        <v>28.879999000000002</v>
      </c>
      <c r="C129">
        <v>29.139999</v>
      </c>
      <c r="D129">
        <v>27.57</v>
      </c>
      <c r="E129">
        <v>28.280000999999999</v>
      </c>
      <c r="F129">
        <v>10.976001</v>
      </c>
      <c r="G129">
        <v>0</v>
      </c>
    </row>
    <row r="130" spans="1:7" x14ac:dyDescent="0.3">
      <c r="A130" s="1">
        <v>38596</v>
      </c>
      <c r="B130">
        <v>28.379999000000002</v>
      </c>
      <c r="C130">
        <v>28.74</v>
      </c>
      <c r="D130">
        <v>27.67</v>
      </c>
      <c r="E130">
        <v>28.41</v>
      </c>
      <c r="F130">
        <v>11.026458999999999</v>
      </c>
      <c r="G130">
        <v>0</v>
      </c>
    </row>
    <row r="131" spans="1:7" x14ac:dyDescent="0.3">
      <c r="A131" s="1">
        <v>38626</v>
      </c>
      <c r="B131">
        <v>28.51</v>
      </c>
      <c r="C131">
        <v>28.51</v>
      </c>
      <c r="D131">
        <v>26.59</v>
      </c>
      <c r="E131">
        <v>27.129999000000002</v>
      </c>
      <c r="F131">
        <v>10.564711000000001</v>
      </c>
      <c r="G131">
        <v>0</v>
      </c>
    </row>
    <row r="132" spans="1:7" x14ac:dyDescent="0.3">
      <c r="A132" s="1">
        <v>38657</v>
      </c>
      <c r="B132">
        <v>27.49</v>
      </c>
      <c r="C132">
        <v>28.959999</v>
      </c>
      <c r="D132">
        <v>27.49</v>
      </c>
      <c r="E132">
        <v>28.74</v>
      </c>
      <c r="F132">
        <v>11.191659</v>
      </c>
      <c r="G132">
        <v>0</v>
      </c>
    </row>
    <row r="133" spans="1:7" x14ac:dyDescent="0.3">
      <c r="A133" s="1">
        <v>38687</v>
      </c>
      <c r="B133">
        <v>29.299999</v>
      </c>
      <c r="C133">
        <v>29.379999000000002</v>
      </c>
      <c r="D133">
        <v>26.32</v>
      </c>
      <c r="E133">
        <v>26.52</v>
      </c>
      <c r="F133">
        <v>10.327168</v>
      </c>
      <c r="G133">
        <v>0</v>
      </c>
    </row>
    <row r="134" spans="1:7" x14ac:dyDescent="0.3">
      <c r="A134" s="1">
        <v>38718</v>
      </c>
      <c r="B134">
        <v>26.860001</v>
      </c>
      <c r="C134">
        <v>28.860001</v>
      </c>
      <c r="D134">
        <v>26.860001</v>
      </c>
      <c r="E134">
        <v>28.860001</v>
      </c>
      <c r="F134">
        <v>12.206759999999999</v>
      </c>
      <c r="G134">
        <v>0</v>
      </c>
    </row>
    <row r="135" spans="1:7" x14ac:dyDescent="0.3">
      <c r="A135" s="1">
        <v>38749</v>
      </c>
      <c r="B135">
        <v>28.959999</v>
      </c>
      <c r="C135">
        <v>29.15</v>
      </c>
      <c r="D135">
        <v>27.959999</v>
      </c>
      <c r="E135">
        <v>28.76</v>
      </c>
      <c r="F135">
        <v>12.164464000000001</v>
      </c>
      <c r="G135">
        <v>0</v>
      </c>
    </row>
    <row r="136" spans="1:7" x14ac:dyDescent="0.3">
      <c r="A136" s="1">
        <v>38777</v>
      </c>
      <c r="B136">
        <v>29.190000999999999</v>
      </c>
      <c r="C136">
        <v>30.469999000000001</v>
      </c>
      <c r="D136">
        <v>28.41</v>
      </c>
      <c r="E136">
        <v>30.469999000000001</v>
      </c>
      <c r="F136">
        <v>12.887727999999999</v>
      </c>
      <c r="G136">
        <v>0</v>
      </c>
    </row>
    <row r="137" spans="1:7" x14ac:dyDescent="0.3">
      <c r="A137" s="1">
        <v>38808</v>
      </c>
      <c r="B137">
        <v>30.4</v>
      </c>
      <c r="C137">
        <v>31.1</v>
      </c>
      <c r="D137">
        <v>29.84</v>
      </c>
      <c r="E137">
        <v>30.77</v>
      </c>
      <c r="F137">
        <v>13.032935</v>
      </c>
      <c r="G137">
        <v>0</v>
      </c>
    </row>
    <row r="138" spans="1:7" x14ac:dyDescent="0.3">
      <c r="A138" s="1">
        <v>38838</v>
      </c>
      <c r="B138">
        <v>30.700001</v>
      </c>
      <c r="C138">
        <v>31.67</v>
      </c>
      <c r="D138">
        <v>29.02</v>
      </c>
      <c r="E138">
        <v>29.42</v>
      </c>
      <c r="F138">
        <v>12.461131999999999</v>
      </c>
      <c r="G138">
        <v>0</v>
      </c>
    </row>
    <row r="139" spans="1:7" x14ac:dyDescent="0.3">
      <c r="A139" s="1">
        <v>38869</v>
      </c>
      <c r="B139">
        <v>30.01</v>
      </c>
      <c r="C139">
        <v>30.040001</v>
      </c>
      <c r="D139">
        <v>27.459999</v>
      </c>
      <c r="E139">
        <v>29.370000999999998</v>
      </c>
      <c r="F139">
        <v>12.439954</v>
      </c>
      <c r="G139">
        <v>0</v>
      </c>
    </row>
    <row r="140" spans="1:7" x14ac:dyDescent="0.3">
      <c r="A140" s="1">
        <v>38899</v>
      </c>
      <c r="B140">
        <v>29.450001</v>
      </c>
      <c r="C140">
        <v>29.450001</v>
      </c>
      <c r="D140">
        <v>27.190000999999999</v>
      </c>
      <c r="E140">
        <v>28.27</v>
      </c>
      <c r="F140">
        <v>12.000233</v>
      </c>
      <c r="G140">
        <v>0</v>
      </c>
    </row>
    <row r="141" spans="1:7" x14ac:dyDescent="0.3">
      <c r="A141" s="1">
        <v>38930</v>
      </c>
      <c r="B141">
        <v>27.82</v>
      </c>
      <c r="C141">
        <v>28.82</v>
      </c>
      <c r="D141">
        <v>27.33</v>
      </c>
      <c r="E141">
        <v>28.82</v>
      </c>
      <c r="F141">
        <v>12.233698</v>
      </c>
      <c r="G141">
        <v>0</v>
      </c>
    </row>
    <row r="142" spans="1:7" x14ac:dyDescent="0.3">
      <c r="A142" s="1">
        <v>38961</v>
      </c>
      <c r="B142">
        <v>28.969999000000001</v>
      </c>
      <c r="C142">
        <v>29.440000999999999</v>
      </c>
      <c r="D142">
        <v>28.389999</v>
      </c>
      <c r="E142">
        <v>29.08</v>
      </c>
      <c r="F142">
        <v>12.344067000000001</v>
      </c>
      <c r="G142">
        <v>0</v>
      </c>
    </row>
    <row r="143" spans="1:7" x14ac:dyDescent="0.3">
      <c r="A143" s="1">
        <v>38991</v>
      </c>
      <c r="B143">
        <v>28.84</v>
      </c>
      <c r="C143">
        <v>31.049999</v>
      </c>
      <c r="D143">
        <v>28.84</v>
      </c>
      <c r="E143">
        <v>30.66</v>
      </c>
      <c r="F143">
        <v>13.052295000000001</v>
      </c>
      <c r="G143">
        <v>0</v>
      </c>
    </row>
    <row r="144" spans="1:7" x14ac:dyDescent="0.3">
      <c r="A144" s="1">
        <v>39022</v>
      </c>
      <c r="B144">
        <v>30.1</v>
      </c>
      <c r="C144">
        <v>31.83</v>
      </c>
      <c r="D144">
        <v>30.049999</v>
      </c>
      <c r="E144">
        <v>31.59</v>
      </c>
      <c r="F144">
        <v>13.448205</v>
      </c>
      <c r="G144">
        <v>0</v>
      </c>
    </row>
    <row r="145" spans="1:7" x14ac:dyDescent="0.3">
      <c r="A145" s="1">
        <v>39052</v>
      </c>
      <c r="B145">
        <v>31.35</v>
      </c>
      <c r="C145">
        <v>32.110000999999997</v>
      </c>
      <c r="D145">
        <v>29.25</v>
      </c>
      <c r="E145">
        <v>29.540001</v>
      </c>
      <c r="F145">
        <v>12.575499000000001</v>
      </c>
      <c r="G145">
        <v>0</v>
      </c>
    </row>
    <row r="146" spans="1:7" x14ac:dyDescent="0.3">
      <c r="A146" s="1">
        <v>39083</v>
      </c>
      <c r="B146">
        <v>29.610001</v>
      </c>
      <c r="C146">
        <v>30.190000999999999</v>
      </c>
      <c r="D146">
        <v>29.110001</v>
      </c>
      <c r="E146">
        <v>30.190000999999999</v>
      </c>
      <c r="F146">
        <v>13.919936999999999</v>
      </c>
      <c r="G146">
        <v>0</v>
      </c>
    </row>
    <row r="147" spans="1:7" x14ac:dyDescent="0.3">
      <c r="A147" s="1">
        <v>39114</v>
      </c>
      <c r="B147">
        <v>30.42</v>
      </c>
      <c r="C147">
        <v>31.360001</v>
      </c>
      <c r="D147">
        <v>30.040001</v>
      </c>
      <c r="E147">
        <v>30.120000999999998</v>
      </c>
      <c r="F147">
        <v>13.887670999999999</v>
      </c>
      <c r="G147">
        <v>0</v>
      </c>
    </row>
    <row r="148" spans="1:7" x14ac:dyDescent="0.3">
      <c r="A148" s="1">
        <v>39142</v>
      </c>
      <c r="B148">
        <v>30.030000999999999</v>
      </c>
      <c r="C148">
        <v>30.76</v>
      </c>
      <c r="D148">
        <v>28.98</v>
      </c>
      <c r="E148">
        <v>30.43</v>
      </c>
      <c r="F148">
        <v>14.030599</v>
      </c>
      <c r="G148">
        <v>0</v>
      </c>
    </row>
    <row r="149" spans="1:7" x14ac:dyDescent="0.3">
      <c r="A149" s="1">
        <v>39173</v>
      </c>
      <c r="B149">
        <v>30.52</v>
      </c>
      <c r="C149">
        <v>31.74</v>
      </c>
      <c r="D149">
        <v>30.52</v>
      </c>
      <c r="E149">
        <v>30.98</v>
      </c>
      <c r="F149">
        <v>14.292394</v>
      </c>
      <c r="G149">
        <v>0</v>
      </c>
    </row>
    <row r="150" spans="1:7" x14ac:dyDescent="0.3">
      <c r="A150" s="1">
        <v>39203</v>
      </c>
      <c r="B150">
        <v>31.1</v>
      </c>
      <c r="C150">
        <v>32.110000999999997</v>
      </c>
      <c r="D150">
        <v>31.1</v>
      </c>
      <c r="E150">
        <v>32.110000999999997</v>
      </c>
      <c r="F150">
        <v>14.813715999999999</v>
      </c>
      <c r="G150">
        <v>0</v>
      </c>
    </row>
    <row r="151" spans="1:7" x14ac:dyDescent="0.3">
      <c r="A151" s="1">
        <v>39234</v>
      </c>
      <c r="B151">
        <v>32.400002000000001</v>
      </c>
      <c r="C151">
        <v>32.520000000000003</v>
      </c>
      <c r="D151">
        <v>31.23</v>
      </c>
      <c r="E151">
        <v>31.530000999999999</v>
      </c>
      <c r="F151">
        <v>14.546136000000001</v>
      </c>
      <c r="G151">
        <v>0</v>
      </c>
    </row>
    <row r="152" spans="1:7" x14ac:dyDescent="0.3">
      <c r="A152" s="1">
        <v>39264</v>
      </c>
      <c r="B152">
        <v>31.91</v>
      </c>
      <c r="C152">
        <v>32.299999</v>
      </c>
      <c r="D152">
        <v>29.120000999999998</v>
      </c>
      <c r="E152">
        <v>29.120000999999998</v>
      </c>
      <c r="F152">
        <v>13.470269</v>
      </c>
      <c r="G152">
        <v>0</v>
      </c>
    </row>
    <row r="153" spans="1:7" x14ac:dyDescent="0.3">
      <c r="A153" s="1">
        <v>39295</v>
      </c>
      <c r="B153">
        <v>29.040001</v>
      </c>
      <c r="C153">
        <v>29.16</v>
      </c>
      <c r="D153">
        <v>27.459999</v>
      </c>
      <c r="E153">
        <v>28.9</v>
      </c>
      <c r="F153">
        <v>13.368497</v>
      </c>
      <c r="G153">
        <v>0</v>
      </c>
    </row>
    <row r="154" spans="1:7" x14ac:dyDescent="0.3">
      <c r="A154" s="1">
        <v>39326</v>
      </c>
      <c r="B154">
        <v>29.16</v>
      </c>
      <c r="C154">
        <v>29.5</v>
      </c>
      <c r="D154">
        <v>27.9</v>
      </c>
      <c r="E154">
        <v>28.700001</v>
      </c>
      <c r="F154">
        <v>13.275981</v>
      </c>
      <c r="G154">
        <v>0</v>
      </c>
    </row>
    <row r="155" spans="1:7" x14ac:dyDescent="0.3">
      <c r="A155" s="1">
        <v>39356</v>
      </c>
      <c r="B155">
        <v>29.34</v>
      </c>
      <c r="C155">
        <v>29.969999000000001</v>
      </c>
      <c r="D155">
        <v>28.08</v>
      </c>
      <c r="E155">
        <v>29.02</v>
      </c>
      <c r="F155">
        <v>13.479792</v>
      </c>
      <c r="G155">
        <v>0</v>
      </c>
    </row>
    <row r="156" spans="1:7" x14ac:dyDescent="0.3">
      <c r="A156" s="1">
        <v>39387</v>
      </c>
      <c r="B156">
        <v>27.809999000000001</v>
      </c>
      <c r="C156">
        <v>27.870000999999998</v>
      </c>
      <c r="D156">
        <v>25.559999000000001</v>
      </c>
      <c r="E156">
        <v>26.49</v>
      </c>
      <c r="F156">
        <v>12.304611</v>
      </c>
      <c r="G156">
        <v>0</v>
      </c>
    </row>
    <row r="157" spans="1:7" x14ac:dyDescent="0.3">
      <c r="A157" s="1">
        <v>39417</v>
      </c>
      <c r="B157">
        <v>26.110001</v>
      </c>
      <c r="C157">
        <v>27.18</v>
      </c>
      <c r="D157">
        <v>23.549999</v>
      </c>
      <c r="E157">
        <v>23.84</v>
      </c>
      <c r="F157">
        <v>11.073684</v>
      </c>
      <c r="G157">
        <v>0</v>
      </c>
    </row>
    <row r="158" spans="1:7" x14ac:dyDescent="0.3">
      <c r="A158" s="1">
        <v>39448</v>
      </c>
      <c r="B158">
        <v>23.450001</v>
      </c>
      <c r="C158">
        <v>23.450001</v>
      </c>
      <c r="D158">
        <v>21.049999</v>
      </c>
      <c r="E158">
        <v>22.9</v>
      </c>
      <c r="F158">
        <v>11.674322</v>
      </c>
      <c r="G158">
        <v>0</v>
      </c>
    </row>
    <row r="159" spans="1:7" x14ac:dyDescent="0.3">
      <c r="A159" s="1">
        <v>39479</v>
      </c>
      <c r="B159">
        <v>23.389999</v>
      </c>
      <c r="C159">
        <v>23.389999</v>
      </c>
      <c r="D159">
        <v>22.25</v>
      </c>
      <c r="E159">
        <v>22.25</v>
      </c>
      <c r="F159">
        <v>11.342955999999999</v>
      </c>
      <c r="G159">
        <v>0</v>
      </c>
    </row>
    <row r="160" spans="1:7" x14ac:dyDescent="0.3">
      <c r="A160" s="1">
        <v>39508</v>
      </c>
      <c r="B160">
        <v>22.139999</v>
      </c>
      <c r="C160">
        <v>22.92</v>
      </c>
      <c r="D160">
        <v>21.08</v>
      </c>
      <c r="E160">
        <v>22.35</v>
      </c>
      <c r="F160">
        <v>11.393938</v>
      </c>
      <c r="G160">
        <v>0</v>
      </c>
    </row>
    <row r="161" spans="1:7" x14ac:dyDescent="0.3">
      <c r="A161" s="1">
        <v>39539</v>
      </c>
      <c r="B161">
        <v>23</v>
      </c>
      <c r="C161">
        <v>23.219999000000001</v>
      </c>
      <c r="D161">
        <v>22.139999</v>
      </c>
      <c r="E161">
        <v>22.719999000000001</v>
      </c>
      <c r="F161">
        <v>11.627362</v>
      </c>
      <c r="G161">
        <v>0</v>
      </c>
    </row>
    <row r="162" spans="1:7" x14ac:dyDescent="0.3">
      <c r="A162" s="1">
        <v>39569</v>
      </c>
      <c r="B162">
        <v>23.200001</v>
      </c>
      <c r="C162">
        <v>23.700001</v>
      </c>
      <c r="D162">
        <v>22.860001</v>
      </c>
      <c r="E162">
        <v>23.66</v>
      </c>
      <c r="F162">
        <v>12.108416</v>
      </c>
      <c r="G162">
        <v>0</v>
      </c>
    </row>
    <row r="163" spans="1:7" x14ac:dyDescent="0.3">
      <c r="A163" s="1">
        <v>39600</v>
      </c>
      <c r="B163">
        <v>23.43</v>
      </c>
      <c r="C163">
        <v>24.08</v>
      </c>
      <c r="D163">
        <v>21.24</v>
      </c>
      <c r="E163">
        <v>21.24</v>
      </c>
      <c r="F163">
        <v>10.869946000000001</v>
      </c>
      <c r="G163">
        <v>0</v>
      </c>
    </row>
    <row r="164" spans="1:7" x14ac:dyDescent="0.3">
      <c r="A164" s="1">
        <v>39630</v>
      </c>
      <c r="B164">
        <v>21.27</v>
      </c>
      <c r="C164">
        <v>21.889999</v>
      </c>
      <c r="D164">
        <v>19.959999</v>
      </c>
      <c r="E164">
        <v>21.68</v>
      </c>
      <c r="F164">
        <v>11.110467</v>
      </c>
      <c r="G164">
        <v>0</v>
      </c>
    </row>
    <row r="165" spans="1:7" x14ac:dyDescent="0.3">
      <c r="A165" s="1">
        <v>39661</v>
      </c>
      <c r="B165">
        <v>21.780000999999999</v>
      </c>
      <c r="C165">
        <v>22.959999</v>
      </c>
      <c r="D165">
        <v>21.41</v>
      </c>
      <c r="E165">
        <v>22.58</v>
      </c>
      <c r="F165">
        <v>11.571692000000001</v>
      </c>
      <c r="G165">
        <v>0</v>
      </c>
    </row>
    <row r="166" spans="1:7" x14ac:dyDescent="0.3">
      <c r="A166" s="1">
        <v>39692</v>
      </c>
      <c r="B166">
        <v>22.629999000000002</v>
      </c>
      <c r="C166">
        <v>23.52</v>
      </c>
      <c r="D166">
        <v>20.379999000000002</v>
      </c>
      <c r="E166">
        <v>20.959999</v>
      </c>
      <c r="F166">
        <v>10.741486</v>
      </c>
      <c r="G166">
        <v>0</v>
      </c>
    </row>
    <row r="167" spans="1:7" x14ac:dyDescent="0.3">
      <c r="A167" s="1">
        <v>39722</v>
      </c>
      <c r="B167">
        <v>20.780000999999999</v>
      </c>
      <c r="C167">
        <v>20.780000999999999</v>
      </c>
      <c r="D167">
        <v>13.81</v>
      </c>
      <c r="E167">
        <v>16.32</v>
      </c>
      <c r="F167">
        <v>8.3881940000000004</v>
      </c>
      <c r="G167">
        <v>0</v>
      </c>
    </row>
    <row r="168" spans="1:7" x14ac:dyDescent="0.3">
      <c r="A168" s="1">
        <v>39753</v>
      </c>
      <c r="B168">
        <v>16.350000000000001</v>
      </c>
      <c r="C168">
        <v>16.559999000000001</v>
      </c>
      <c r="D168">
        <v>11.67</v>
      </c>
      <c r="E168">
        <v>14.2</v>
      </c>
      <c r="F168">
        <v>7.2985540000000002</v>
      </c>
      <c r="G168">
        <v>0</v>
      </c>
    </row>
    <row r="169" spans="1:7" x14ac:dyDescent="0.3">
      <c r="A169" s="1">
        <v>39783</v>
      </c>
      <c r="B169">
        <v>12.55</v>
      </c>
      <c r="C169">
        <v>14.78</v>
      </c>
      <c r="D169">
        <v>12.55</v>
      </c>
      <c r="E169">
        <v>14.78</v>
      </c>
      <c r="F169">
        <v>7.5966639999999996</v>
      </c>
      <c r="G169">
        <v>0</v>
      </c>
    </row>
    <row r="170" spans="1:7" x14ac:dyDescent="0.3">
      <c r="A170" s="1">
        <v>39814</v>
      </c>
      <c r="B170">
        <v>15.03</v>
      </c>
      <c r="C170">
        <v>15.33</v>
      </c>
      <c r="D170">
        <v>12.59</v>
      </c>
      <c r="E170">
        <v>12.67</v>
      </c>
      <c r="F170">
        <v>6.5861770000000002</v>
      </c>
      <c r="G170">
        <v>0</v>
      </c>
    </row>
    <row r="171" spans="1:7" x14ac:dyDescent="0.3">
      <c r="A171" s="1">
        <v>39845</v>
      </c>
      <c r="B171">
        <v>12.8</v>
      </c>
      <c r="C171">
        <v>13.57</v>
      </c>
      <c r="D171">
        <v>11.06</v>
      </c>
      <c r="E171">
        <v>11.06</v>
      </c>
      <c r="F171">
        <v>5.7492590000000003</v>
      </c>
      <c r="G171">
        <v>0</v>
      </c>
    </row>
    <row r="172" spans="1:7" x14ac:dyDescent="0.3">
      <c r="A172" s="1">
        <v>39873</v>
      </c>
      <c r="B172">
        <v>11.06</v>
      </c>
      <c r="C172">
        <v>13.02</v>
      </c>
      <c r="D172">
        <v>9.61</v>
      </c>
      <c r="E172">
        <v>12.21</v>
      </c>
      <c r="F172">
        <v>6.3470579999999996</v>
      </c>
      <c r="G172">
        <v>0</v>
      </c>
    </row>
    <row r="173" spans="1:7" x14ac:dyDescent="0.3">
      <c r="A173" s="1">
        <v>39904</v>
      </c>
      <c r="B173">
        <v>12.51</v>
      </c>
      <c r="C173">
        <v>14.71</v>
      </c>
      <c r="D173">
        <v>12.51</v>
      </c>
      <c r="E173">
        <v>14.61</v>
      </c>
      <c r="F173">
        <v>7.5946340000000001</v>
      </c>
      <c r="G173">
        <v>0</v>
      </c>
    </row>
    <row r="174" spans="1:7" x14ac:dyDescent="0.3">
      <c r="A174" s="1">
        <v>39934</v>
      </c>
      <c r="B174">
        <v>14.63</v>
      </c>
      <c r="C174">
        <v>15.6</v>
      </c>
      <c r="D174">
        <v>14.17</v>
      </c>
      <c r="E174">
        <v>15.08</v>
      </c>
      <c r="F174">
        <v>7.8389540000000002</v>
      </c>
      <c r="G174">
        <v>0</v>
      </c>
    </row>
    <row r="175" spans="1:7" x14ac:dyDescent="0.3">
      <c r="A175" s="1">
        <v>39965</v>
      </c>
      <c r="B175">
        <v>15.72</v>
      </c>
      <c r="C175">
        <v>15.96</v>
      </c>
      <c r="D175">
        <v>14.4</v>
      </c>
      <c r="E175">
        <v>15.1</v>
      </c>
      <c r="F175">
        <v>7.8493510000000004</v>
      </c>
      <c r="G175">
        <v>0</v>
      </c>
    </row>
    <row r="176" spans="1:7" x14ac:dyDescent="0.3">
      <c r="A176" s="1">
        <v>39995</v>
      </c>
      <c r="B176">
        <v>15.48</v>
      </c>
      <c r="C176">
        <v>17.129999000000002</v>
      </c>
      <c r="D176">
        <v>14.37</v>
      </c>
      <c r="E176">
        <v>17.129999000000002</v>
      </c>
      <c r="F176">
        <v>8.9243989999999993</v>
      </c>
      <c r="G176">
        <v>0</v>
      </c>
    </row>
    <row r="177" spans="1:7" x14ac:dyDescent="0.3">
      <c r="A177" s="1">
        <v>40026</v>
      </c>
      <c r="B177">
        <v>17.52</v>
      </c>
      <c r="C177">
        <v>18.420000000000002</v>
      </c>
      <c r="D177">
        <v>17.09</v>
      </c>
      <c r="E177">
        <v>18.010000000000002</v>
      </c>
      <c r="F177">
        <v>9.3828650000000007</v>
      </c>
      <c r="G177">
        <v>0</v>
      </c>
    </row>
    <row r="178" spans="1:7" x14ac:dyDescent="0.3">
      <c r="A178" s="1">
        <v>40057</v>
      </c>
      <c r="B178">
        <v>17.489999999999998</v>
      </c>
      <c r="C178">
        <v>19.690000999999999</v>
      </c>
      <c r="D178">
        <v>17.399999999999999</v>
      </c>
      <c r="E178">
        <v>19.129999000000002</v>
      </c>
      <c r="F178">
        <v>9.9663620000000002</v>
      </c>
      <c r="G178">
        <v>0</v>
      </c>
    </row>
    <row r="179" spans="1:7" x14ac:dyDescent="0.3">
      <c r="A179" s="1">
        <v>40087</v>
      </c>
      <c r="B179">
        <v>18.41</v>
      </c>
      <c r="C179">
        <v>19.969999000000001</v>
      </c>
      <c r="D179">
        <v>17.690000999999999</v>
      </c>
      <c r="E179">
        <v>17.690000999999999</v>
      </c>
      <c r="F179">
        <v>9.2263210000000004</v>
      </c>
      <c r="G179">
        <v>0</v>
      </c>
    </row>
    <row r="180" spans="1:7" x14ac:dyDescent="0.3">
      <c r="A180" s="1">
        <v>40118</v>
      </c>
      <c r="B180">
        <v>17.620000999999998</v>
      </c>
      <c r="C180">
        <v>19.030000999999999</v>
      </c>
      <c r="D180">
        <v>17.620000999999998</v>
      </c>
      <c r="E180">
        <v>18.239999999999998</v>
      </c>
      <c r="F180">
        <v>9.5131770000000007</v>
      </c>
      <c r="G180">
        <v>0</v>
      </c>
    </row>
    <row r="181" spans="1:7" x14ac:dyDescent="0.3">
      <c r="A181" s="1">
        <v>40148</v>
      </c>
      <c r="B181">
        <v>18.540001</v>
      </c>
      <c r="C181">
        <v>19.899999999999999</v>
      </c>
      <c r="D181">
        <v>18.450001</v>
      </c>
      <c r="E181">
        <v>19.629999000000002</v>
      </c>
      <c r="F181">
        <v>10.238139</v>
      </c>
      <c r="G181">
        <v>0</v>
      </c>
    </row>
    <row r="182" spans="1:7" x14ac:dyDescent="0.3">
      <c r="A182" s="1">
        <v>40179</v>
      </c>
      <c r="B182">
        <v>20.16</v>
      </c>
      <c r="C182">
        <v>20.530000999999999</v>
      </c>
      <c r="D182">
        <v>19.010000000000002</v>
      </c>
      <c r="E182">
        <v>19.010000000000002</v>
      </c>
      <c r="F182">
        <v>9.942304</v>
      </c>
      <c r="G182">
        <v>0</v>
      </c>
    </row>
    <row r="183" spans="1:7" x14ac:dyDescent="0.3">
      <c r="A183" s="1">
        <v>40210</v>
      </c>
      <c r="B183">
        <v>19.309999000000001</v>
      </c>
      <c r="C183">
        <v>20.350000000000001</v>
      </c>
      <c r="D183">
        <v>18.57</v>
      </c>
      <c r="E183">
        <v>20.18</v>
      </c>
      <c r="F183">
        <v>10.554220000000001</v>
      </c>
      <c r="G183">
        <v>0</v>
      </c>
    </row>
    <row r="184" spans="1:7" x14ac:dyDescent="0.3">
      <c r="A184" s="1">
        <v>40238</v>
      </c>
      <c r="B184">
        <v>20.65</v>
      </c>
      <c r="C184">
        <v>22.290001</v>
      </c>
      <c r="D184">
        <v>20.65</v>
      </c>
      <c r="E184">
        <v>21.959999</v>
      </c>
      <c r="F184">
        <v>11.485163999999999</v>
      </c>
      <c r="G184">
        <v>0</v>
      </c>
    </row>
    <row r="185" spans="1:7" x14ac:dyDescent="0.3">
      <c r="A185" s="1">
        <v>40269</v>
      </c>
      <c r="B185">
        <v>22.200001</v>
      </c>
      <c r="C185">
        <v>24.74</v>
      </c>
      <c r="D185">
        <v>22.200001</v>
      </c>
      <c r="E185">
        <v>23.74</v>
      </c>
      <c r="F185">
        <v>12.420736</v>
      </c>
      <c r="G185">
        <v>0</v>
      </c>
    </row>
    <row r="186" spans="1:7" x14ac:dyDescent="0.3">
      <c r="A186" s="1">
        <v>40299</v>
      </c>
      <c r="B186">
        <v>24.23</v>
      </c>
      <c r="C186">
        <v>24.23</v>
      </c>
      <c r="D186">
        <v>20.6</v>
      </c>
      <c r="E186">
        <v>21.389999</v>
      </c>
      <c r="F186">
        <v>11.191217</v>
      </c>
      <c r="G186">
        <v>0</v>
      </c>
    </row>
    <row r="187" spans="1:7" x14ac:dyDescent="0.3">
      <c r="A187" s="1">
        <v>40330</v>
      </c>
      <c r="B187">
        <v>20.559999000000001</v>
      </c>
      <c r="C187">
        <v>21.389999</v>
      </c>
      <c r="D187">
        <v>19.219999000000001</v>
      </c>
      <c r="E187">
        <v>19.219999000000001</v>
      </c>
      <c r="F187">
        <v>10.055878999999999</v>
      </c>
      <c r="G187">
        <v>0</v>
      </c>
    </row>
    <row r="188" spans="1:7" x14ac:dyDescent="0.3">
      <c r="A188" s="1">
        <v>40360</v>
      </c>
      <c r="B188">
        <v>19.030000999999999</v>
      </c>
      <c r="C188">
        <v>21.190000999999999</v>
      </c>
      <c r="D188">
        <v>18.5</v>
      </c>
      <c r="E188">
        <v>20.889999</v>
      </c>
      <c r="F188">
        <v>10.929622</v>
      </c>
      <c r="G188">
        <v>0</v>
      </c>
    </row>
    <row r="189" spans="1:7" x14ac:dyDescent="0.3">
      <c r="A189" s="1">
        <v>40391</v>
      </c>
      <c r="B189">
        <v>21.27</v>
      </c>
      <c r="C189">
        <v>21.27</v>
      </c>
      <c r="D189">
        <v>18.93</v>
      </c>
      <c r="E189">
        <v>19.139999</v>
      </c>
      <c r="F189">
        <v>10.014023</v>
      </c>
      <c r="G189">
        <v>0</v>
      </c>
    </row>
    <row r="190" spans="1:7" x14ac:dyDescent="0.3">
      <c r="A190" s="1">
        <v>40422</v>
      </c>
      <c r="B190">
        <v>19.920000000000002</v>
      </c>
      <c r="C190">
        <v>21.620000999999998</v>
      </c>
      <c r="D190">
        <v>19.920000000000002</v>
      </c>
      <c r="E190">
        <v>21.59</v>
      </c>
      <c r="F190">
        <v>11.295859999999999</v>
      </c>
      <c r="G190">
        <v>0</v>
      </c>
    </row>
    <row r="191" spans="1:7" x14ac:dyDescent="0.3">
      <c r="A191" s="1">
        <v>40452</v>
      </c>
      <c r="B191">
        <v>21.690000999999999</v>
      </c>
      <c r="C191">
        <v>22.85</v>
      </c>
      <c r="D191">
        <v>21.33</v>
      </c>
      <c r="E191">
        <v>22.49</v>
      </c>
      <c r="F191">
        <v>11.780842</v>
      </c>
      <c r="G191">
        <v>0</v>
      </c>
    </row>
    <row r="192" spans="1:7" x14ac:dyDescent="0.3">
      <c r="A192" s="1">
        <v>40483</v>
      </c>
      <c r="B192">
        <v>22.370000999999998</v>
      </c>
      <c r="C192">
        <v>23.84</v>
      </c>
      <c r="D192">
        <v>22.370000999999998</v>
      </c>
      <c r="E192">
        <v>23.5</v>
      </c>
      <c r="F192">
        <v>12.309906</v>
      </c>
      <c r="G192">
        <v>0</v>
      </c>
    </row>
    <row r="193" spans="1:7" x14ac:dyDescent="0.3">
      <c r="A193" s="1">
        <v>40513</v>
      </c>
      <c r="B193">
        <v>24</v>
      </c>
      <c r="C193">
        <v>25.76</v>
      </c>
      <c r="D193">
        <v>24</v>
      </c>
      <c r="E193">
        <v>25.57</v>
      </c>
      <c r="F193">
        <v>13.394223999999999</v>
      </c>
      <c r="G193">
        <v>0</v>
      </c>
    </row>
    <row r="194" spans="1:7" x14ac:dyDescent="0.3">
      <c r="A194" s="1">
        <v>40544</v>
      </c>
      <c r="B194">
        <v>26.110001</v>
      </c>
      <c r="C194">
        <v>26.389999</v>
      </c>
      <c r="D194">
        <v>25.280000999999999</v>
      </c>
      <c r="E194">
        <v>25.65</v>
      </c>
      <c r="F194">
        <v>13.481717</v>
      </c>
      <c r="G194">
        <v>0</v>
      </c>
    </row>
    <row r="195" spans="1:7" x14ac:dyDescent="0.3">
      <c r="A195" s="1">
        <v>40575</v>
      </c>
      <c r="B195">
        <v>26.309999000000001</v>
      </c>
      <c r="C195">
        <v>27.709999</v>
      </c>
      <c r="D195">
        <v>26.190000999999999</v>
      </c>
      <c r="E195">
        <v>27.26</v>
      </c>
      <c r="F195">
        <v>14.327939000000001</v>
      </c>
      <c r="G195">
        <v>0</v>
      </c>
    </row>
    <row r="196" spans="1:7" x14ac:dyDescent="0.3">
      <c r="A196" s="1">
        <v>40603</v>
      </c>
      <c r="B196">
        <v>26.719999000000001</v>
      </c>
      <c r="C196">
        <v>27.82</v>
      </c>
      <c r="D196">
        <v>25.75</v>
      </c>
      <c r="E196">
        <v>27.82</v>
      </c>
      <c r="F196">
        <v>14.622278</v>
      </c>
      <c r="G196">
        <v>0</v>
      </c>
    </row>
    <row r="197" spans="1:7" x14ac:dyDescent="0.3">
      <c r="A197" s="1">
        <v>40634</v>
      </c>
      <c r="B197">
        <v>27.99</v>
      </c>
      <c r="C197">
        <v>28.209999</v>
      </c>
      <c r="D197">
        <v>26.870000999999998</v>
      </c>
      <c r="E197">
        <v>28.17</v>
      </c>
      <c r="F197">
        <v>14.806241</v>
      </c>
      <c r="G197">
        <v>0</v>
      </c>
    </row>
    <row r="198" spans="1:7" x14ac:dyDescent="0.3">
      <c r="A198" s="1">
        <v>40664</v>
      </c>
      <c r="B198">
        <v>27.82</v>
      </c>
      <c r="C198">
        <v>27.82</v>
      </c>
      <c r="D198">
        <v>26.08</v>
      </c>
      <c r="E198">
        <v>27.290001</v>
      </c>
      <c r="F198">
        <v>14.343709</v>
      </c>
      <c r="G198">
        <v>0</v>
      </c>
    </row>
    <row r="199" spans="1:7" x14ac:dyDescent="0.3">
      <c r="A199" s="1">
        <v>40695</v>
      </c>
      <c r="B199">
        <v>26.43</v>
      </c>
      <c r="C199">
        <v>26.77</v>
      </c>
      <c r="D199">
        <v>25.049999</v>
      </c>
      <c r="E199">
        <v>26.77</v>
      </c>
      <c r="F199">
        <v>14.070399</v>
      </c>
      <c r="G199">
        <v>0</v>
      </c>
    </row>
    <row r="200" spans="1:7" x14ac:dyDescent="0.3">
      <c r="A200" s="1">
        <v>40725</v>
      </c>
      <c r="B200">
        <v>27.23</v>
      </c>
      <c r="C200">
        <v>27.799999</v>
      </c>
      <c r="D200">
        <v>26</v>
      </c>
      <c r="E200">
        <v>26</v>
      </c>
      <c r="F200">
        <v>13.679012999999999</v>
      </c>
      <c r="G200">
        <v>0</v>
      </c>
    </row>
    <row r="201" spans="1:7" x14ac:dyDescent="0.3">
      <c r="A201" s="1">
        <v>40756</v>
      </c>
      <c r="B201">
        <v>25.860001</v>
      </c>
      <c r="C201">
        <v>25.860001</v>
      </c>
      <c r="D201">
        <v>20.719999000000001</v>
      </c>
      <c r="E201">
        <v>23.25</v>
      </c>
      <c r="F201">
        <v>12.232196999999999</v>
      </c>
      <c r="G201">
        <v>0</v>
      </c>
    </row>
    <row r="202" spans="1:7" x14ac:dyDescent="0.3">
      <c r="A202" s="1">
        <v>40787</v>
      </c>
      <c r="B202">
        <v>22.610001</v>
      </c>
      <c r="C202">
        <v>22.719999000000001</v>
      </c>
      <c r="D202">
        <v>20.209999</v>
      </c>
      <c r="E202">
        <v>20.290001</v>
      </c>
      <c r="F202">
        <v>10.674894999999999</v>
      </c>
      <c r="G202">
        <v>0</v>
      </c>
    </row>
    <row r="203" spans="1:7" x14ac:dyDescent="0.3">
      <c r="A203" s="1">
        <v>40817</v>
      </c>
      <c r="B203">
        <v>19.16</v>
      </c>
      <c r="C203">
        <v>24.4</v>
      </c>
      <c r="D203">
        <v>19.16</v>
      </c>
      <c r="E203">
        <v>23.5</v>
      </c>
      <c r="F203">
        <v>12.385102</v>
      </c>
      <c r="G203">
        <v>0</v>
      </c>
    </row>
    <row r="204" spans="1:7" x14ac:dyDescent="0.3">
      <c r="A204" s="1">
        <v>40848</v>
      </c>
      <c r="B204">
        <v>22.59</v>
      </c>
      <c r="C204">
        <v>24.08</v>
      </c>
      <c r="D204">
        <v>21.08</v>
      </c>
      <c r="E204">
        <v>23.34</v>
      </c>
      <c r="F204">
        <v>12.300777</v>
      </c>
      <c r="G204">
        <v>0</v>
      </c>
    </row>
    <row r="205" spans="1:7" x14ac:dyDescent="0.3">
      <c r="A205" s="1">
        <v>40878</v>
      </c>
      <c r="B205">
        <v>23.110001</v>
      </c>
      <c r="C205">
        <v>23.67</v>
      </c>
      <c r="D205">
        <v>21.98</v>
      </c>
      <c r="E205">
        <v>23.16</v>
      </c>
      <c r="F205">
        <v>12.205913000000001</v>
      </c>
      <c r="G205">
        <v>0</v>
      </c>
    </row>
    <row r="206" spans="1:7" x14ac:dyDescent="0.3">
      <c r="A206" s="1">
        <v>40909</v>
      </c>
      <c r="B206">
        <v>23.620000999999998</v>
      </c>
      <c r="C206">
        <v>25.09</v>
      </c>
      <c r="D206">
        <v>23.5</v>
      </c>
      <c r="E206">
        <v>24.879999000000002</v>
      </c>
      <c r="F206">
        <v>13.342533</v>
      </c>
      <c r="G206">
        <v>0</v>
      </c>
    </row>
    <row r="207" spans="1:7" x14ac:dyDescent="0.3">
      <c r="A207" s="1">
        <v>40940</v>
      </c>
      <c r="B207">
        <v>25.43</v>
      </c>
      <c r="C207">
        <v>26.27</v>
      </c>
      <c r="D207">
        <v>25.43</v>
      </c>
      <c r="E207">
        <v>25.67</v>
      </c>
      <c r="F207">
        <v>13.766192</v>
      </c>
      <c r="G207">
        <v>0</v>
      </c>
    </row>
    <row r="208" spans="1:7" x14ac:dyDescent="0.3">
      <c r="A208" s="1">
        <v>40969</v>
      </c>
      <c r="B208">
        <v>25.790001</v>
      </c>
      <c r="C208">
        <v>26.790001</v>
      </c>
      <c r="D208">
        <v>24.809999000000001</v>
      </c>
      <c r="E208">
        <v>26.26</v>
      </c>
      <c r="F208">
        <v>14.082599</v>
      </c>
      <c r="G208">
        <v>0</v>
      </c>
    </row>
    <row r="209" spans="1:7" x14ac:dyDescent="0.3">
      <c r="A209" s="1">
        <v>41000</v>
      </c>
      <c r="B209">
        <v>26.6</v>
      </c>
      <c r="C209">
        <v>26.6</v>
      </c>
      <c r="D209">
        <v>24.84</v>
      </c>
      <c r="E209">
        <v>25.84</v>
      </c>
      <c r="F209">
        <v>13.857365</v>
      </c>
      <c r="G209">
        <v>0</v>
      </c>
    </row>
    <row r="210" spans="1:7" x14ac:dyDescent="0.3">
      <c r="A210" s="1">
        <v>41030</v>
      </c>
      <c r="B210">
        <v>25.84</v>
      </c>
      <c r="C210">
        <v>25.93</v>
      </c>
      <c r="D210">
        <v>23.629999000000002</v>
      </c>
      <c r="E210">
        <v>24</v>
      </c>
      <c r="F210">
        <v>12.870615000000001</v>
      </c>
      <c r="G210">
        <v>0</v>
      </c>
    </row>
    <row r="211" spans="1:7" x14ac:dyDescent="0.3">
      <c r="A211" s="1">
        <v>41061</v>
      </c>
      <c r="B211">
        <v>23.24</v>
      </c>
      <c r="C211">
        <v>24.98</v>
      </c>
      <c r="D211">
        <v>23.17</v>
      </c>
      <c r="E211">
        <v>24.98</v>
      </c>
      <c r="F211">
        <v>13.396167</v>
      </c>
      <c r="G211">
        <v>0</v>
      </c>
    </row>
    <row r="212" spans="1:7" x14ac:dyDescent="0.3">
      <c r="A212" s="1">
        <v>41091</v>
      </c>
      <c r="B212">
        <v>25.23</v>
      </c>
      <c r="C212">
        <v>25.6</v>
      </c>
      <c r="D212">
        <v>24.049999</v>
      </c>
      <c r="E212">
        <v>24.92</v>
      </c>
      <c r="F212">
        <v>13.402670000000001</v>
      </c>
      <c r="G212">
        <v>0</v>
      </c>
    </row>
    <row r="213" spans="1:7" x14ac:dyDescent="0.3">
      <c r="A213" s="1">
        <v>41122</v>
      </c>
      <c r="B213">
        <v>24.49</v>
      </c>
      <c r="C213">
        <v>26.25</v>
      </c>
      <c r="D213">
        <v>24.32</v>
      </c>
      <c r="E213">
        <v>25.969999000000001</v>
      </c>
      <c r="F213">
        <v>13.967385999999999</v>
      </c>
      <c r="G213">
        <v>0</v>
      </c>
    </row>
    <row r="214" spans="1:7" x14ac:dyDescent="0.3">
      <c r="A214" s="1">
        <v>41153</v>
      </c>
      <c r="B214">
        <v>26.24</v>
      </c>
      <c r="C214">
        <v>27.82</v>
      </c>
      <c r="D214">
        <v>26.219999000000001</v>
      </c>
      <c r="E214">
        <v>26.790001</v>
      </c>
      <c r="F214">
        <v>14.408405999999999</v>
      </c>
      <c r="G214">
        <v>0</v>
      </c>
    </row>
    <row r="215" spans="1:7" x14ac:dyDescent="0.3">
      <c r="A215" s="1">
        <v>41183</v>
      </c>
      <c r="B215">
        <v>26.98</v>
      </c>
      <c r="C215">
        <v>27.41</v>
      </c>
      <c r="D215">
        <v>26.42</v>
      </c>
      <c r="E215">
        <v>26.57</v>
      </c>
      <c r="F215">
        <v>14.311838</v>
      </c>
      <c r="G215">
        <v>0</v>
      </c>
    </row>
    <row r="216" spans="1:7" x14ac:dyDescent="0.3">
      <c r="A216" s="1">
        <v>41214</v>
      </c>
      <c r="B216">
        <v>26.959999</v>
      </c>
      <c r="C216">
        <v>27.059999000000001</v>
      </c>
      <c r="D216">
        <v>25.209999</v>
      </c>
      <c r="E216">
        <v>27.059999000000001</v>
      </c>
      <c r="F216">
        <v>14.575773</v>
      </c>
      <c r="G216">
        <v>0</v>
      </c>
    </row>
    <row r="217" spans="1:7" x14ac:dyDescent="0.3">
      <c r="A217" s="1">
        <v>41244</v>
      </c>
      <c r="B217">
        <v>27.040001</v>
      </c>
      <c r="C217">
        <v>27.49</v>
      </c>
      <c r="D217">
        <v>25.34</v>
      </c>
      <c r="E217">
        <v>26.209999</v>
      </c>
      <c r="F217">
        <v>14.117927999999999</v>
      </c>
      <c r="G217">
        <v>0</v>
      </c>
    </row>
    <row r="218" spans="1:7" x14ac:dyDescent="0.3">
      <c r="A218" s="1">
        <v>41275</v>
      </c>
      <c r="B218">
        <v>26.969999000000001</v>
      </c>
      <c r="C218">
        <v>28.030000999999999</v>
      </c>
      <c r="D218">
        <v>26.93</v>
      </c>
      <c r="E218">
        <v>27.93</v>
      </c>
      <c r="F218">
        <v>16.103415999999999</v>
      </c>
      <c r="G218">
        <v>0</v>
      </c>
    </row>
    <row r="219" spans="1:7" x14ac:dyDescent="0.3">
      <c r="A219" s="1">
        <v>41306</v>
      </c>
      <c r="B219">
        <v>28.290001</v>
      </c>
      <c r="C219">
        <v>29.24</v>
      </c>
      <c r="D219">
        <v>27.889999</v>
      </c>
      <c r="E219">
        <v>28.42</v>
      </c>
      <c r="F219">
        <v>16.385939</v>
      </c>
      <c r="G219">
        <v>0</v>
      </c>
    </row>
    <row r="220" spans="1:7" x14ac:dyDescent="0.3">
      <c r="A220" s="1">
        <v>41334</v>
      </c>
      <c r="B220">
        <v>28.469999000000001</v>
      </c>
      <c r="C220">
        <v>29.99</v>
      </c>
      <c r="D220">
        <v>28.469999000000001</v>
      </c>
      <c r="E220">
        <v>29.809999000000001</v>
      </c>
      <c r="F220">
        <v>17.187349000000001</v>
      </c>
      <c r="G220">
        <v>0</v>
      </c>
    </row>
    <row r="221" spans="1:7" x14ac:dyDescent="0.3">
      <c r="A221" s="1">
        <v>41365</v>
      </c>
      <c r="B221">
        <v>29.42</v>
      </c>
      <c r="C221">
        <v>29.709999</v>
      </c>
      <c r="D221">
        <v>27.950001</v>
      </c>
      <c r="E221">
        <v>29.48</v>
      </c>
      <c r="F221">
        <v>16.999420000000001</v>
      </c>
      <c r="G221">
        <v>0</v>
      </c>
    </row>
    <row r="222" spans="1:7" x14ac:dyDescent="0.3">
      <c r="A222" s="1">
        <v>41395</v>
      </c>
      <c r="B222">
        <v>28.76</v>
      </c>
      <c r="C222">
        <v>31.42</v>
      </c>
      <c r="D222">
        <v>28.76</v>
      </c>
      <c r="E222">
        <v>31.07</v>
      </c>
      <c r="F222">
        <v>17.916278999999999</v>
      </c>
      <c r="G222">
        <v>0</v>
      </c>
    </row>
    <row r="223" spans="1:7" x14ac:dyDescent="0.3">
      <c r="A223" s="1">
        <v>41426</v>
      </c>
      <c r="B223">
        <v>31.299999</v>
      </c>
      <c r="C223">
        <v>31.540001</v>
      </c>
      <c r="D223">
        <v>29.969999000000001</v>
      </c>
      <c r="E223">
        <v>30.809999000000001</v>
      </c>
      <c r="F223">
        <v>17.766352000000001</v>
      </c>
      <c r="G223">
        <v>0</v>
      </c>
    </row>
    <row r="224" spans="1:7" x14ac:dyDescent="0.3">
      <c r="A224" s="1">
        <v>41456</v>
      </c>
      <c r="B224">
        <v>31.309999000000001</v>
      </c>
      <c r="C224">
        <v>33.450001</v>
      </c>
      <c r="D224">
        <v>31.26</v>
      </c>
      <c r="E224">
        <v>33.07</v>
      </c>
      <c r="F224">
        <v>19.095891999999999</v>
      </c>
      <c r="G224">
        <v>0</v>
      </c>
    </row>
    <row r="225" spans="1:7" x14ac:dyDescent="0.3">
      <c r="A225" s="1">
        <v>41487</v>
      </c>
      <c r="B225">
        <v>33.619999</v>
      </c>
      <c r="C225">
        <v>33.619999</v>
      </c>
      <c r="D225">
        <v>31.690000999999999</v>
      </c>
      <c r="E225">
        <v>31.690000999999999</v>
      </c>
      <c r="F225">
        <v>18.299026000000001</v>
      </c>
      <c r="G225">
        <v>0</v>
      </c>
    </row>
    <row r="226" spans="1:7" x14ac:dyDescent="0.3">
      <c r="A226" s="1">
        <v>41518</v>
      </c>
      <c r="B226">
        <v>31.889999</v>
      </c>
      <c r="C226">
        <v>33.560001</v>
      </c>
      <c r="D226">
        <v>31.889999</v>
      </c>
      <c r="E226">
        <v>33.310001</v>
      </c>
      <c r="F226">
        <v>19.234473999999999</v>
      </c>
      <c r="G226">
        <v>0</v>
      </c>
    </row>
    <row r="227" spans="1:7" x14ac:dyDescent="0.3">
      <c r="A227" s="1">
        <v>41548</v>
      </c>
      <c r="B227">
        <v>33.68</v>
      </c>
      <c r="C227">
        <v>35.020000000000003</v>
      </c>
      <c r="D227">
        <v>32.549999</v>
      </c>
      <c r="E227">
        <v>34.479999999999997</v>
      </c>
      <c r="F227">
        <v>19.935091</v>
      </c>
      <c r="G227">
        <v>0</v>
      </c>
    </row>
    <row r="228" spans="1:7" x14ac:dyDescent="0.3">
      <c r="A228" s="1">
        <v>41579</v>
      </c>
      <c r="B228">
        <v>34.43</v>
      </c>
      <c r="C228">
        <v>36.229999999999997</v>
      </c>
      <c r="D228">
        <v>34.049999</v>
      </c>
      <c r="E228">
        <v>36.229999999999997</v>
      </c>
      <c r="F228">
        <v>20.946878000000002</v>
      </c>
      <c r="G228">
        <v>0</v>
      </c>
    </row>
    <row r="229" spans="1:7" x14ac:dyDescent="0.3">
      <c r="A229" s="1">
        <v>41609</v>
      </c>
      <c r="B229">
        <v>35.880001</v>
      </c>
      <c r="C229">
        <v>36</v>
      </c>
      <c r="D229">
        <v>33.580002</v>
      </c>
      <c r="E229">
        <v>35.409999999999997</v>
      </c>
      <c r="F229">
        <v>20.472781999999999</v>
      </c>
      <c r="G229">
        <v>0</v>
      </c>
    </row>
    <row r="230" spans="1:7" x14ac:dyDescent="0.3">
      <c r="A230" s="1">
        <v>41640</v>
      </c>
      <c r="B230">
        <v>34.990001999999997</v>
      </c>
      <c r="C230">
        <v>35.43</v>
      </c>
      <c r="D230">
        <v>33.590000000000003</v>
      </c>
      <c r="E230">
        <v>33.590000000000003</v>
      </c>
      <c r="F230">
        <v>20.412783000000001</v>
      </c>
      <c r="G230">
        <v>0</v>
      </c>
    </row>
    <row r="231" spans="1:7" x14ac:dyDescent="0.3">
      <c r="A231" s="1">
        <v>41671</v>
      </c>
      <c r="B231">
        <v>32.560001</v>
      </c>
      <c r="C231">
        <v>35.419998</v>
      </c>
      <c r="D231">
        <v>32.560001</v>
      </c>
      <c r="E231">
        <v>35.419998</v>
      </c>
      <c r="F231">
        <v>21.524881000000001</v>
      </c>
      <c r="G231">
        <v>0</v>
      </c>
    </row>
    <row r="232" spans="1:7" x14ac:dyDescent="0.3">
      <c r="A232" s="1">
        <v>41699</v>
      </c>
      <c r="B232">
        <v>35.229999999999997</v>
      </c>
      <c r="C232">
        <v>36.18</v>
      </c>
      <c r="D232">
        <v>35.040000999999997</v>
      </c>
      <c r="E232">
        <v>35.840000000000003</v>
      </c>
      <c r="F232">
        <v>21.780114999999999</v>
      </c>
      <c r="G232">
        <v>0</v>
      </c>
    </row>
    <row r="233" spans="1:7" x14ac:dyDescent="0.3">
      <c r="A233" s="1">
        <v>41730</v>
      </c>
      <c r="B233">
        <v>36.290000999999997</v>
      </c>
      <c r="C233">
        <v>36.5</v>
      </c>
      <c r="D233">
        <v>34.470001000000003</v>
      </c>
      <c r="E233">
        <v>35.150002000000001</v>
      </c>
      <c r="F233">
        <v>21.360802</v>
      </c>
      <c r="G233">
        <v>0</v>
      </c>
    </row>
    <row r="234" spans="1:7" x14ac:dyDescent="0.3">
      <c r="A234" s="1">
        <v>41760</v>
      </c>
      <c r="B234">
        <v>35.049999</v>
      </c>
      <c r="C234">
        <v>35.549999</v>
      </c>
      <c r="D234">
        <v>34.310001</v>
      </c>
      <c r="E234">
        <v>35.439999</v>
      </c>
      <c r="F234">
        <v>21.537037000000002</v>
      </c>
      <c r="G234">
        <v>0</v>
      </c>
    </row>
    <row r="235" spans="1:7" x14ac:dyDescent="0.3">
      <c r="A235" s="1">
        <v>41791</v>
      </c>
      <c r="B235">
        <v>35.380001</v>
      </c>
      <c r="C235">
        <v>36.970001000000003</v>
      </c>
      <c r="D235">
        <v>35.310001</v>
      </c>
      <c r="E235">
        <v>36.970001000000003</v>
      </c>
      <c r="F235">
        <v>22.466822000000001</v>
      </c>
      <c r="G235">
        <v>0</v>
      </c>
    </row>
    <row r="236" spans="1:7" x14ac:dyDescent="0.3">
      <c r="A236" s="1">
        <v>41821</v>
      </c>
      <c r="B236">
        <v>37.409999999999997</v>
      </c>
      <c r="C236">
        <v>37.549999</v>
      </c>
      <c r="D236">
        <v>34.840000000000003</v>
      </c>
      <c r="E236">
        <v>34.840000000000003</v>
      </c>
      <c r="F236">
        <v>21.1968</v>
      </c>
      <c r="G236">
        <v>0</v>
      </c>
    </row>
    <row r="237" spans="1:7" x14ac:dyDescent="0.3">
      <c r="A237" s="1">
        <v>41852</v>
      </c>
      <c r="B237">
        <v>34.720001000000003</v>
      </c>
      <c r="C237">
        <v>36.869999</v>
      </c>
      <c r="D237">
        <v>34.720001000000003</v>
      </c>
      <c r="E237">
        <v>36.869999</v>
      </c>
      <c r="F237">
        <v>22.431865999999999</v>
      </c>
      <c r="G237">
        <v>0</v>
      </c>
    </row>
    <row r="238" spans="1:7" x14ac:dyDescent="0.3">
      <c r="A238" s="1">
        <v>41883</v>
      </c>
      <c r="B238">
        <v>37.080002</v>
      </c>
      <c r="C238">
        <v>37.080002</v>
      </c>
      <c r="D238">
        <v>34.240001999999997</v>
      </c>
      <c r="E238">
        <v>34.240001999999997</v>
      </c>
      <c r="F238">
        <v>20.831764</v>
      </c>
      <c r="G238">
        <v>0</v>
      </c>
    </row>
    <row r="239" spans="1:7" x14ac:dyDescent="0.3">
      <c r="A239" s="1">
        <v>41913</v>
      </c>
      <c r="B239">
        <v>33.669998</v>
      </c>
      <c r="C239">
        <v>35.82</v>
      </c>
      <c r="D239">
        <v>32.18</v>
      </c>
      <c r="E239">
        <v>35.82</v>
      </c>
      <c r="F239">
        <v>21.829363000000001</v>
      </c>
      <c r="G239">
        <v>0</v>
      </c>
    </row>
    <row r="240" spans="1:7" x14ac:dyDescent="0.3">
      <c r="A240" s="1">
        <v>41944</v>
      </c>
      <c r="B240">
        <v>35.720001000000003</v>
      </c>
      <c r="C240">
        <v>36.470001000000003</v>
      </c>
      <c r="D240">
        <v>35.529998999999997</v>
      </c>
      <c r="E240">
        <v>35.720001000000003</v>
      </c>
      <c r="F240">
        <v>21.768415000000001</v>
      </c>
      <c r="G240">
        <v>0</v>
      </c>
    </row>
    <row r="241" spans="1:7" x14ac:dyDescent="0.3">
      <c r="A241" s="1">
        <v>41974</v>
      </c>
      <c r="B241">
        <v>35.150002000000001</v>
      </c>
      <c r="C241">
        <v>36.009998000000003</v>
      </c>
      <c r="D241">
        <v>32.810001</v>
      </c>
      <c r="E241">
        <v>34.970001000000003</v>
      </c>
      <c r="F241">
        <v>21.311356</v>
      </c>
      <c r="G241">
        <v>0</v>
      </c>
    </row>
    <row r="242" spans="1:7" x14ac:dyDescent="0.3">
      <c r="A242" s="1">
        <v>42005</v>
      </c>
      <c r="B242">
        <v>34.759998000000003</v>
      </c>
      <c r="C242">
        <v>34.759998000000003</v>
      </c>
      <c r="D242">
        <v>32.869999</v>
      </c>
      <c r="E242">
        <v>33.240001999999997</v>
      </c>
      <c r="F242">
        <v>21.164280000000002</v>
      </c>
      <c r="G242">
        <v>0</v>
      </c>
    </row>
    <row r="243" spans="1:7" x14ac:dyDescent="0.3">
      <c r="A243" s="1">
        <v>42036</v>
      </c>
      <c r="B243">
        <v>33.700001</v>
      </c>
      <c r="C243">
        <v>35.340000000000003</v>
      </c>
      <c r="D243">
        <v>33.700001</v>
      </c>
      <c r="E243">
        <v>35.200001</v>
      </c>
      <c r="F243">
        <v>22.412233000000001</v>
      </c>
      <c r="G243">
        <v>0</v>
      </c>
    </row>
    <row r="244" spans="1:7" x14ac:dyDescent="0.3">
      <c r="A244" s="1">
        <v>42064</v>
      </c>
      <c r="B244">
        <v>35.470001000000003</v>
      </c>
      <c r="C244">
        <v>36.009998000000003</v>
      </c>
      <c r="D244">
        <v>34.290000999999997</v>
      </c>
      <c r="E244">
        <v>35.82</v>
      </c>
      <c r="F244">
        <v>22.806995000000001</v>
      </c>
      <c r="G244">
        <v>0</v>
      </c>
    </row>
    <row r="245" spans="1:7" x14ac:dyDescent="0.3">
      <c r="A245" s="1">
        <v>42095</v>
      </c>
      <c r="B245">
        <v>35.830002</v>
      </c>
      <c r="C245">
        <v>36.540000999999997</v>
      </c>
      <c r="D245">
        <v>35.340000000000003</v>
      </c>
      <c r="E245">
        <v>35.340000000000003</v>
      </c>
      <c r="F245">
        <v>22.504612000000002</v>
      </c>
      <c r="G245">
        <v>0</v>
      </c>
    </row>
    <row r="246" spans="1:7" x14ac:dyDescent="0.3">
      <c r="A246" s="1">
        <v>42125</v>
      </c>
      <c r="B246">
        <v>35.599997999999999</v>
      </c>
      <c r="C246">
        <v>36.400002000000001</v>
      </c>
      <c r="D246">
        <v>35.400002000000001</v>
      </c>
      <c r="E246">
        <v>35.82</v>
      </c>
      <c r="F246">
        <v>22.810279999999999</v>
      </c>
      <c r="G246">
        <v>0</v>
      </c>
    </row>
    <row r="247" spans="1:7" x14ac:dyDescent="0.3">
      <c r="A247" s="1">
        <v>42156</v>
      </c>
      <c r="B247">
        <v>35.840000000000003</v>
      </c>
      <c r="C247">
        <v>36.970001000000003</v>
      </c>
      <c r="D247">
        <v>35.68</v>
      </c>
      <c r="E247">
        <v>35.740001999999997</v>
      </c>
      <c r="F247">
        <v>22.759335</v>
      </c>
      <c r="G247">
        <v>0</v>
      </c>
    </row>
    <row r="248" spans="1:7" x14ac:dyDescent="0.3">
      <c r="A248" s="1">
        <v>42186</v>
      </c>
      <c r="B248">
        <v>35.790000999999997</v>
      </c>
      <c r="C248">
        <v>35.900002000000001</v>
      </c>
      <c r="D248">
        <v>33.75</v>
      </c>
      <c r="E248">
        <v>34.43</v>
      </c>
      <c r="F248">
        <v>21.984553999999999</v>
      </c>
      <c r="G248">
        <v>0</v>
      </c>
    </row>
    <row r="249" spans="1:7" x14ac:dyDescent="0.3">
      <c r="A249" s="1">
        <v>42217</v>
      </c>
      <c r="B249">
        <v>34.169998</v>
      </c>
      <c r="C249">
        <v>34.520000000000003</v>
      </c>
      <c r="D249">
        <v>31.120000999999998</v>
      </c>
      <c r="E249">
        <v>33.040000999999997</v>
      </c>
      <c r="F249">
        <v>21.096996000000001</v>
      </c>
      <c r="G249">
        <v>0</v>
      </c>
    </row>
    <row r="250" spans="1:7" x14ac:dyDescent="0.3">
      <c r="A250" s="1">
        <v>42248</v>
      </c>
      <c r="B250">
        <v>32.080002</v>
      </c>
      <c r="C250">
        <v>33.169998</v>
      </c>
      <c r="D250">
        <v>31.040001</v>
      </c>
      <c r="E250">
        <v>31.42</v>
      </c>
      <c r="F250">
        <v>20.062588000000002</v>
      </c>
      <c r="G250">
        <v>0</v>
      </c>
    </row>
    <row r="251" spans="1:7" x14ac:dyDescent="0.3">
      <c r="A251" s="1">
        <v>42278</v>
      </c>
      <c r="B251">
        <v>31.309999000000001</v>
      </c>
      <c r="C251">
        <v>33.630001</v>
      </c>
      <c r="D251">
        <v>31.309999000000001</v>
      </c>
      <c r="E251">
        <v>33.080002</v>
      </c>
      <c r="F251">
        <v>21.209441999999999</v>
      </c>
      <c r="G251">
        <v>0</v>
      </c>
    </row>
    <row r="252" spans="1:7" x14ac:dyDescent="0.3">
      <c r="A252" s="1">
        <v>42309</v>
      </c>
      <c r="B252">
        <v>33.689999</v>
      </c>
      <c r="C252">
        <v>34.229999999999997</v>
      </c>
      <c r="D252">
        <v>32.659999999999997</v>
      </c>
      <c r="E252">
        <v>34.130001</v>
      </c>
      <c r="F252">
        <v>21.882656000000001</v>
      </c>
      <c r="G252">
        <v>0</v>
      </c>
    </row>
    <row r="253" spans="1:7" x14ac:dyDescent="0.3">
      <c r="A253" s="1">
        <v>42339</v>
      </c>
      <c r="B253">
        <v>34.369999</v>
      </c>
      <c r="C253">
        <v>34.369999</v>
      </c>
      <c r="D253">
        <v>29.959999</v>
      </c>
      <c r="E253">
        <v>30.49</v>
      </c>
      <c r="F253">
        <v>19.548845</v>
      </c>
      <c r="G253">
        <v>0</v>
      </c>
    </row>
    <row r="254" spans="1:7" x14ac:dyDescent="0.3">
      <c r="A254" s="1">
        <v>42370</v>
      </c>
      <c r="B254">
        <v>29.91</v>
      </c>
      <c r="C254">
        <v>29.91</v>
      </c>
      <c r="D254">
        <v>26.67</v>
      </c>
      <c r="E254">
        <v>28.299999</v>
      </c>
      <c r="F254">
        <v>19.060572000000001</v>
      </c>
      <c r="G254">
        <v>0</v>
      </c>
    </row>
    <row r="255" spans="1:7" x14ac:dyDescent="0.3">
      <c r="A255" s="1">
        <v>42401</v>
      </c>
      <c r="B255">
        <v>28.15</v>
      </c>
      <c r="C255">
        <v>28.629999000000002</v>
      </c>
      <c r="D255">
        <v>26.27</v>
      </c>
      <c r="E255">
        <v>28.629999000000002</v>
      </c>
      <c r="F255">
        <v>19.282834999999999</v>
      </c>
      <c r="G255">
        <v>0</v>
      </c>
    </row>
    <row r="256" spans="1:7" x14ac:dyDescent="0.3">
      <c r="A256" s="1">
        <v>42430</v>
      </c>
      <c r="B256">
        <v>29.219999000000001</v>
      </c>
      <c r="C256">
        <v>31.07</v>
      </c>
      <c r="D256">
        <v>29.219999000000001</v>
      </c>
      <c r="E256">
        <v>31.07</v>
      </c>
      <c r="F256">
        <v>20.926216</v>
      </c>
      <c r="G256">
        <v>0</v>
      </c>
    </row>
    <row r="257" spans="1:7" x14ac:dyDescent="0.3">
      <c r="A257" s="1">
        <v>42461</v>
      </c>
      <c r="B257">
        <v>31.030000999999999</v>
      </c>
      <c r="C257">
        <v>32.279998999999997</v>
      </c>
      <c r="D257">
        <v>30.01</v>
      </c>
      <c r="E257">
        <v>31.629999000000002</v>
      </c>
      <c r="F257">
        <v>21.351606</v>
      </c>
      <c r="G257">
        <v>0</v>
      </c>
    </row>
    <row r="258" spans="1:7" x14ac:dyDescent="0.3">
      <c r="A258" s="1">
        <v>42491</v>
      </c>
      <c r="B258">
        <v>31.799999</v>
      </c>
      <c r="C258">
        <v>31.799999</v>
      </c>
      <c r="D258">
        <v>30.370000999999998</v>
      </c>
      <c r="E258">
        <v>31.780000999999999</v>
      </c>
      <c r="F258">
        <v>21.452856000000001</v>
      </c>
      <c r="G258">
        <v>0</v>
      </c>
    </row>
    <row r="259" spans="1:7" x14ac:dyDescent="0.3">
      <c r="A259" s="1">
        <v>42522</v>
      </c>
      <c r="B259">
        <v>31.93</v>
      </c>
      <c r="C259">
        <v>32.689999</v>
      </c>
      <c r="D259">
        <v>29.68</v>
      </c>
      <c r="E259">
        <v>31.33</v>
      </c>
      <c r="F259">
        <v>21.149086</v>
      </c>
      <c r="G259">
        <v>0</v>
      </c>
    </row>
    <row r="260" spans="1:7" x14ac:dyDescent="0.3">
      <c r="A260" s="1">
        <v>42552</v>
      </c>
      <c r="B260">
        <v>31.52</v>
      </c>
      <c r="C260">
        <v>32.939999</v>
      </c>
      <c r="D260">
        <v>30.889999</v>
      </c>
      <c r="E260">
        <v>32.849997999999999</v>
      </c>
      <c r="F260">
        <v>22.23415</v>
      </c>
      <c r="G260">
        <v>0</v>
      </c>
    </row>
    <row r="261" spans="1:7" x14ac:dyDescent="0.3">
      <c r="A261" s="1">
        <v>42583</v>
      </c>
      <c r="B261">
        <v>32.630001</v>
      </c>
      <c r="C261">
        <v>33.610000999999997</v>
      </c>
      <c r="D261">
        <v>32.209999000000003</v>
      </c>
      <c r="E261">
        <v>33.419998</v>
      </c>
      <c r="F261">
        <v>22.619945999999999</v>
      </c>
      <c r="G261">
        <v>0</v>
      </c>
    </row>
    <row r="262" spans="1:7" x14ac:dyDescent="0.3">
      <c r="A262" s="1">
        <v>42614</v>
      </c>
      <c r="B262">
        <v>33.369999</v>
      </c>
      <c r="C262">
        <v>33.93</v>
      </c>
      <c r="D262">
        <v>32.400002000000001</v>
      </c>
      <c r="E262">
        <v>33.810001</v>
      </c>
      <c r="F262">
        <v>22.883922999999999</v>
      </c>
      <c r="G262">
        <v>0</v>
      </c>
    </row>
    <row r="263" spans="1:7" x14ac:dyDescent="0.3">
      <c r="A263" s="1">
        <v>42644</v>
      </c>
      <c r="B263">
        <v>33.669998</v>
      </c>
      <c r="C263">
        <v>34.209999000000003</v>
      </c>
      <c r="D263">
        <v>32.689999</v>
      </c>
      <c r="E263">
        <v>32.75</v>
      </c>
      <c r="F263">
        <v>22.175037</v>
      </c>
      <c r="G263">
        <v>0</v>
      </c>
    </row>
    <row r="264" spans="1:7" x14ac:dyDescent="0.3">
      <c r="A264" s="1">
        <v>42675</v>
      </c>
      <c r="B264">
        <v>32.470001000000003</v>
      </c>
      <c r="C264">
        <v>37.799999</v>
      </c>
      <c r="D264">
        <v>32.150002000000001</v>
      </c>
      <c r="E264">
        <v>37.619999</v>
      </c>
      <c r="F264">
        <v>25.472515000000001</v>
      </c>
      <c r="G264">
        <v>0</v>
      </c>
    </row>
    <row r="265" spans="1:7" x14ac:dyDescent="0.3">
      <c r="A265" s="1">
        <v>42705</v>
      </c>
      <c r="B265">
        <v>37.689999</v>
      </c>
      <c r="C265">
        <v>39.959999000000003</v>
      </c>
      <c r="D265">
        <v>37.389999000000003</v>
      </c>
      <c r="E265">
        <v>37.389999000000003</v>
      </c>
      <c r="F265">
        <v>25.316777999999999</v>
      </c>
      <c r="G265">
        <v>0</v>
      </c>
    </row>
    <row r="266" spans="1:7" x14ac:dyDescent="0.3">
      <c r="A266" s="1">
        <v>42736</v>
      </c>
      <c r="B266">
        <v>37.759998000000003</v>
      </c>
      <c r="C266">
        <v>38.330002</v>
      </c>
      <c r="D266">
        <v>36.860000999999997</v>
      </c>
      <c r="E266">
        <v>37.189999</v>
      </c>
      <c r="F266">
        <v>26.209862000000001</v>
      </c>
      <c r="G266">
        <v>0</v>
      </c>
    </row>
    <row r="267" spans="1:7" x14ac:dyDescent="0.3">
      <c r="A267" s="1">
        <v>42767</v>
      </c>
      <c r="B267">
        <v>37.18</v>
      </c>
      <c r="C267">
        <v>38.299999</v>
      </c>
      <c r="D267">
        <v>36.93</v>
      </c>
      <c r="E267">
        <v>37.310001</v>
      </c>
      <c r="F267">
        <v>26.294432</v>
      </c>
      <c r="G267">
        <v>0</v>
      </c>
    </row>
    <row r="268" spans="1:7" x14ac:dyDescent="0.3">
      <c r="A268" s="1">
        <v>42795</v>
      </c>
      <c r="B268">
        <v>38.189999</v>
      </c>
      <c r="C268">
        <v>38.189999</v>
      </c>
      <c r="D268">
        <v>35.659999999999997</v>
      </c>
      <c r="E268">
        <v>36.869999</v>
      </c>
      <c r="F268">
        <v>25.984338999999999</v>
      </c>
      <c r="G268">
        <v>0</v>
      </c>
    </row>
    <row r="269" spans="1:7" x14ac:dyDescent="0.3">
      <c r="A269" s="1">
        <v>42826</v>
      </c>
      <c r="B269">
        <v>36.360000999999997</v>
      </c>
      <c r="C269">
        <v>37.68</v>
      </c>
      <c r="D269">
        <v>35.549999</v>
      </c>
      <c r="E269">
        <v>37.040000999999997</v>
      </c>
      <c r="F269">
        <v>26.115627</v>
      </c>
      <c r="G269">
        <v>0</v>
      </c>
    </row>
    <row r="270" spans="1:7" x14ac:dyDescent="0.3">
      <c r="A270" s="1">
        <v>42856</v>
      </c>
      <c r="B270">
        <v>37.150002000000001</v>
      </c>
      <c r="C270">
        <v>37.150002000000001</v>
      </c>
      <c r="D270">
        <v>35.580002</v>
      </c>
      <c r="E270">
        <v>35.740001999999997</v>
      </c>
      <c r="F270">
        <v>25.199038999999999</v>
      </c>
      <c r="G270">
        <v>0</v>
      </c>
    </row>
    <row r="271" spans="1:7" x14ac:dyDescent="0.3">
      <c r="A271" s="1">
        <v>42887</v>
      </c>
      <c r="B271">
        <v>36.419998</v>
      </c>
      <c r="C271">
        <v>37.290000999999997</v>
      </c>
      <c r="D271">
        <v>35.720001000000003</v>
      </c>
      <c r="E271">
        <v>36.590000000000003</v>
      </c>
      <c r="F271">
        <v>25.798347</v>
      </c>
      <c r="G271">
        <v>0</v>
      </c>
    </row>
    <row r="272" spans="1:7" x14ac:dyDescent="0.3">
      <c r="A272" s="1">
        <v>42917</v>
      </c>
      <c r="B272">
        <v>37.040000999999997</v>
      </c>
      <c r="C272">
        <v>37.439999</v>
      </c>
      <c r="D272">
        <v>36.220001000000003</v>
      </c>
      <c r="E272">
        <v>36.869999</v>
      </c>
      <c r="F272">
        <v>26.048909999999999</v>
      </c>
      <c r="G272">
        <v>0</v>
      </c>
    </row>
    <row r="273" spans="1:7" x14ac:dyDescent="0.3">
      <c r="A273" s="1">
        <v>42948</v>
      </c>
      <c r="B273">
        <v>36.919998</v>
      </c>
      <c r="C273">
        <v>36.919998</v>
      </c>
      <c r="D273">
        <v>34.729999999999997</v>
      </c>
      <c r="E273">
        <v>35.93</v>
      </c>
      <c r="F273">
        <v>25.384796000000001</v>
      </c>
      <c r="G273">
        <v>0</v>
      </c>
    </row>
    <row r="274" spans="1:7" x14ac:dyDescent="0.3">
      <c r="A274" s="1">
        <v>42979</v>
      </c>
      <c r="B274">
        <v>36.169998</v>
      </c>
      <c r="C274">
        <v>38.700001</v>
      </c>
      <c r="D274">
        <v>35.450001</v>
      </c>
      <c r="E274">
        <v>38.700001</v>
      </c>
      <c r="F274">
        <v>27.341822000000001</v>
      </c>
      <c r="G274">
        <v>0</v>
      </c>
    </row>
    <row r="275" spans="1:7" x14ac:dyDescent="0.3">
      <c r="A275" s="1">
        <v>43009</v>
      </c>
      <c r="B275">
        <v>39.189999</v>
      </c>
      <c r="C275">
        <v>39.270000000000003</v>
      </c>
      <c r="D275">
        <v>38.759998000000003</v>
      </c>
      <c r="E275">
        <v>39.07</v>
      </c>
      <c r="F275">
        <v>27.656879</v>
      </c>
      <c r="G275">
        <v>0</v>
      </c>
    </row>
    <row r="276" spans="1:7" x14ac:dyDescent="0.3">
      <c r="A276" s="1">
        <v>43040</v>
      </c>
      <c r="B276">
        <v>38.900002000000001</v>
      </c>
      <c r="C276">
        <v>39.950001</v>
      </c>
      <c r="D276">
        <v>37.639999000000003</v>
      </c>
      <c r="E276">
        <v>39.900002000000001</v>
      </c>
      <c r="F276">
        <v>28.244423000000001</v>
      </c>
      <c r="G276">
        <v>0</v>
      </c>
    </row>
    <row r="277" spans="1:7" x14ac:dyDescent="0.3">
      <c r="A277" s="1">
        <v>43070</v>
      </c>
      <c r="B277">
        <v>39.770000000000003</v>
      </c>
      <c r="C277">
        <v>39.93</v>
      </c>
      <c r="D277">
        <v>37.479999999999997</v>
      </c>
      <c r="E277">
        <v>37.919998</v>
      </c>
      <c r="F277">
        <v>26.842813</v>
      </c>
      <c r="G277">
        <v>0</v>
      </c>
    </row>
    <row r="278" spans="1:7" x14ac:dyDescent="0.3">
      <c r="A278" s="1">
        <v>43101</v>
      </c>
      <c r="B278">
        <v>38.310001</v>
      </c>
      <c r="C278">
        <v>39.75</v>
      </c>
      <c r="D278">
        <v>38.310001</v>
      </c>
      <c r="E278">
        <v>38.490001999999997</v>
      </c>
      <c r="F278">
        <v>28.702133</v>
      </c>
      <c r="G278">
        <v>0</v>
      </c>
    </row>
    <row r="279" spans="1:7" x14ac:dyDescent="0.3">
      <c r="A279" s="1">
        <v>43132</v>
      </c>
      <c r="B279">
        <v>38.700001</v>
      </c>
      <c r="C279">
        <v>38.700001</v>
      </c>
      <c r="D279">
        <v>35.790000999999997</v>
      </c>
      <c r="E279">
        <v>36.689999</v>
      </c>
      <c r="F279">
        <v>27.359853999999999</v>
      </c>
      <c r="G279">
        <v>0</v>
      </c>
    </row>
    <row r="280" spans="1:7" x14ac:dyDescent="0.3">
      <c r="A280" s="1">
        <v>43160</v>
      </c>
      <c r="B280">
        <v>36.619999</v>
      </c>
      <c r="C280">
        <v>38.610000999999997</v>
      </c>
      <c r="D280">
        <v>36.509998000000003</v>
      </c>
      <c r="E280">
        <v>37.029998999999997</v>
      </c>
      <c r="F280">
        <v>27.613403000000002</v>
      </c>
      <c r="G280">
        <v>0</v>
      </c>
    </row>
    <row r="281" spans="1:7" x14ac:dyDescent="0.3">
      <c r="A281" s="1">
        <v>43191</v>
      </c>
      <c r="B281">
        <v>36.200001</v>
      </c>
      <c r="C281">
        <v>38.509998000000003</v>
      </c>
      <c r="D281">
        <v>36.200001</v>
      </c>
      <c r="E281">
        <v>37.520000000000003</v>
      </c>
      <c r="F281">
        <v>27.979561</v>
      </c>
      <c r="G281">
        <v>0</v>
      </c>
    </row>
    <row r="282" spans="1:7" x14ac:dyDescent="0.3">
      <c r="A282" s="1">
        <v>43221</v>
      </c>
      <c r="B282">
        <v>37.57</v>
      </c>
      <c r="C282">
        <v>40.32</v>
      </c>
      <c r="D282">
        <v>37.450001</v>
      </c>
      <c r="E282">
        <v>39.880001</v>
      </c>
      <c r="F282">
        <v>29.739473</v>
      </c>
      <c r="G282">
        <v>0</v>
      </c>
    </row>
    <row r="283" spans="1:7" x14ac:dyDescent="0.3">
      <c r="A283" s="1">
        <v>43252</v>
      </c>
      <c r="B283">
        <v>40.169998</v>
      </c>
      <c r="C283">
        <v>41.16</v>
      </c>
      <c r="D283">
        <v>39.82</v>
      </c>
      <c r="E283">
        <v>39.82</v>
      </c>
      <c r="F283">
        <v>29.694732999999999</v>
      </c>
      <c r="G283">
        <v>0</v>
      </c>
    </row>
    <row r="284" spans="1:7" x14ac:dyDescent="0.3">
      <c r="A284" s="1">
        <v>43282</v>
      </c>
      <c r="B284">
        <v>40</v>
      </c>
      <c r="C284">
        <v>41.279998999999997</v>
      </c>
      <c r="D284">
        <v>40</v>
      </c>
      <c r="E284">
        <v>40.459999000000003</v>
      </c>
      <c r="F284">
        <v>30.236287999999998</v>
      </c>
      <c r="G284">
        <v>0</v>
      </c>
    </row>
    <row r="285" spans="1:7" x14ac:dyDescent="0.3">
      <c r="A285" s="1">
        <v>43313</v>
      </c>
      <c r="B285">
        <v>40.360000999999997</v>
      </c>
      <c r="C285">
        <v>41.669998</v>
      </c>
      <c r="D285">
        <v>40.270000000000003</v>
      </c>
      <c r="E285">
        <v>41.610000999999997</v>
      </c>
      <c r="F285">
        <v>31.095694999999999</v>
      </c>
      <c r="G285">
        <v>0</v>
      </c>
    </row>
    <row r="286" spans="1:7" x14ac:dyDescent="0.3">
      <c r="A286" s="1">
        <v>43344</v>
      </c>
      <c r="B286">
        <v>41.380001</v>
      </c>
      <c r="C286">
        <v>41.380001</v>
      </c>
      <c r="D286">
        <v>40.090000000000003</v>
      </c>
      <c r="E286">
        <v>40.169998</v>
      </c>
      <c r="F286">
        <v>30.019562000000001</v>
      </c>
      <c r="G286">
        <v>0</v>
      </c>
    </row>
    <row r="287" spans="1:7" x14ac:dyDescent="0.3">
      <c r="A287" s="1">
        <v>43374</v>
      </c>
      <c r="B287">
        <v>39.779998999999997</v>
      </c>
      <c r="C287">
        <v>39.990001999999997</v>
      </c>
      <c r="D287">
        <v>35.150002000000001</v>
      </c>
      <c r="E287">
        <v>36.389999000000003</v>
      </c>
      <c r="F287">
        <v>27.270582000000001</v>
      </c>
      <c r="G287">
        <v>0</v>
      </c>
    </row>
    <row r="288" spans="1:7" x14ac:dyDescent="0.3">
      <c r="A288" s="1">
        <v>43405</v>
      </c>
      <c r="B288">
        <v>37.119999</v>
      </c>
      <c r="C288">
        <v>38.139999000000003</v>
      </c>
      <c r="D288">
        <v>35.540000999999997</v>
      </c>
      <c r="E288">
        <v>36.720001000000003</v>
      </c>
      <c r="F288">
        <v>27.517883000000001</v>
      </c>
      <c r="G288">
        <v>0</v>
      </c>
    </row>
    <row r="289" spans="1:7" x14ac:dyDescent="0.3">
      <c r="A289" s="1">
        <v>43435</v>
      </c>
      <c r="B289">
        <v>37</v>
      </c>
      <c r="C289">
        <v>37</v>
      </c>
      <c r="D289">
        <v>28.32</v>
      </c>
      <c r="E289">
        <v>30</v>
      </c>
      <c r="F289">
        <v>22.481936000000001</v>
      </c>
      <c r="G289">
        <v>0</v>
      </c>
    </row>
    <row r="290" spans="1:7" x14ac:dyDescent="0.3">
      <c r="A290" s="1">
        <v>43466</v>
      </c>
      <c r="B290">
        <v>30.43</v>
      </c>
      <c r="C290">
        <v>33.599997999999999</v>
      </c>
      <c r="D290">
        <v>30.01</v>
      </c>
      <c r="E290">
        <v>33.599997999999999</v>
      </c>
      <c r="F290">
        <v>26.877828999999998</v>
      </c>
      <c r="G290">
        <v>0</v>
      </c>
    </row>
    <row r="291" spans="1:7" x14ac:dyDescent="0.3">
      <c r="A291" s="1">
        <v>43497</v>
      </c>
      <c r="B291">
        <v>33.700001</v>
      </c>
      <c r="C291">
        <v>35.43</v>
      </c>
      <c r="D291">
        <v>33.419998</v>
      </c>
      <c r="E291">
        <v>34.700001</v>
      </c>
      <c r="F291">
        <v>27.757769</v>
      </c>
      <c r="G291">
        <v>0</v>
      </c>
    </row>
    <row r="292" spans="1:7" x14ac:dyDescent="0.3">
      <c r="A292" s="1">
        <v>43525</v>
      </c>
      <c r="B292">
        <v>34.990001999999997</v>
      </c>
      <c r="C292">
        <v>34.990001999999997</v>
      </c>
      <c r="D292">
        <v>32.669998</v>
      </c>
      <c r="E292">
        <v>33.380001</v>
      </c>
      <c r="F292">
        <v>26.701853</v>
      </c>
      <c r="G292">
        <v>0</v>
      </c>
    </row>
    <row r="293" spans="1:7" x14ac:dyDescent="0.3">
      <c r="A293" s="1">
        <v>43556</v>
      </c>
      <c r="B293">
        <v>34</v>
      </c>
      <c r="C293">
        <v>34.950001</v>
      </c>
      <c r="D293">
        <v>33.830002</v>
      </c>
      <c r="E293">
        <v>34.729999999999997</v>
      </c>
      <c r="F293">
        <v>27.823629</v>
      </c>
      <c r="G293">
        <v>0</v>
      </c>
    </row>
    <row r="294" spans="1:7" x14ac:dyDescent="0.3">
      <c r="A294" s="1">
        <v>43586</v>
      </c>
      <c r="B294">
        <v>34.360000999999997</v>
      </c>
      <c r="C294">
        <v>35.009998000000003</v>
      </c>
      <c r="D294">
        <v>30.73</v>
      </c>
      <c r="E294">
        <v>30.73</v>
      </c>
      <c r="F294">
        <v>24.619064000000002</v>
      </c>
      <c r="G294">
        <v>0</v>
      </c>
    </row>
    <row r="295" spans="1:7" x14ac:dyDescent="0.3">
      <c r="A295" s="1">
        <v>43617</v>
      </c>
      <c r="B295">
        <v>31.07</v>
      </c>
      <c r="C295">
        <v>33.009998000000003</v>
      </c>
      <c r="D295">
        <v>31.07</v>
      </c>
      <c r="E295">
        <v>33.009998000000003</v>
      </c>
      <c r="F295">
        <v>26.445667</v>
      </c>
      <c r="G295">
        <v>0</v>
      </c>
    </row>
    <row r="296" spans="1:7" x14ac:dyDescent="0.3">
      <c r="A296" s="1">
        <v>43647</v>
      </c>
      <c r="B296">
        <v>33.080002</v>
      </c>
      <c r="C296">
        <v>33.360000999999997</v>
      </c>
      <c r="D296">
        <v>32.220001000000003</v>
      </c>
      <c r="E296">
        <v>33.139999000000003</v>
      </c>
      <c r="F296">
        <v>26.637051</v>
      </c>
      <c r="G296">
        <v>0</v>
      </c>
    </row>
    <row r="297" spans="1:7" x14ac:dyDescent="0.3">
      <c r="A297" s="1">
        <v>43678</v>
      </c>
      <c r="B297">
        <v>32.200001</v>
      </c>
      <c r="C297">
        <v>32.200001</v>
      </c>
      <c r="D297">
        <v>29.450001</v>
      </c>
      <c r="E297">
        <v>30.49</v>
      </c>
      <c r="F297">
        <v>24.507052999999999</v>
      </c>
      <c r="G297">
        <v>0</v>
      </c>
    </row>
    <row r="298" spans="1:7" x14ac:dyDescent="0.3">
      <c r="A298" s="1">
        <v>43709</v>
      </c>
      <c r="B298">
        <v>29.98</v>
      </c>
      <c r="C298">
        <v>33.380001</v>
      </c>
      <c r="D298">
        <v>29.98</v>
      </c>
      <c r="E298">
        <v>32.200001</v>
      </c>
      <c r="F298">
        <v>25.881508</v>
      </c>
      <c r="G298">
        <v>0</v>
      </c>
    </row>
    <row r="299" spans="1:7" x14ac:dyDescent="0.3">
      <c r="A299" s="1">
        <v>43739</v>
      </c>
      <c r="B299">
        <v>31.549999</v>
      </c>
      <c r="C299">
        <v>33.389999000000003</v>
      </c>
      <c r="D299">
        <v>30.76</v>
      </c>
      <c r="E299">
        <v>32.790000999999997</v>
      </c>
      <c r="F299">
        <v>26.442347999999999</v>
      </c>
      <c r="G299">
        <v>0</v>
      </c>
    </row>
    <row r="300" spans="1:7" x14ac:dyDescent="0.3">
      <c r="A300" s="1">
        <v>43770</v>
      </c>
      <c r="B300">
        <v>32.790000999999997</v>
      </c>
      <c r="C300">
        <v>34.080002</v>
      </c>
      <c r="D300">
        <v>32.790000999999997</v>
      </c>
      <c r="E300">
        <v>33.830002</v>
      </c>
      <c r="F300">
        <v>27.281016999999999</v>
      </c>
      <c r="G300">
        <v>0</v>
      </c>
    </row>
    <row r="301" spans="1:7" x14ac:dyDescent="0.3">
      <c r="A301" s="1">
        <v>43800</v>
      </c>
      <c r="B301">
        <v>33.599997999999999</v>
      </c>
      <c r="C301">
        <v>34.830002</v>
      </c>
      <c r="D301">
        <v>33.310001</v>
      </c>
      <c r="E301">
        <v>34.439999</v>
      </c>
      <c r="F301">
        <v>27.772933999999999</v>
      </c>
      <c r="G301">
        <v>0</v>
      </c>
    </row>
    <row r="302" spans="1:7" x14ac:dyDescent="0.3">
      <c r="A302" s="1">
        <v>43831</v>
      </c>
      <c r="B302">
        <v>34.439999</v>
      </c>
      <c r="C302">
        <v>34.590000000000003</v>
      </c>
      <c r="D302">
        <v>32.07</v>
      </c>
      <c r="E302">
        <v>32.07</v>
      </c>
      <c r="F302">
        <v>26.404088999999999</v>
      </c>
      <c r="G302">
        <v>0</v>
      </c>
    </row>
    <row r="303" spans="1:7" x14ac:dyDescent="0.3">
      <c r="A303" s="1">
        <v>43862</v>
      </c>
      <c r="B303">
        <v>32.32</v>
      </c>
      <c r="C303">
        <v>33.389999000000003</v>
      </c>
      <c r="D303">
        <v>28.610001</v>
      </c>
      <c r="E303">
        <v>28.610001</v>
      </c>
      <c r="F303">
        <v>23.55538</v>
      </c>
      <c r="G303">
        <v>0</v>
      </c>
    </row>
    <row r="304" spans="1:7" x14ac:dyDescent="0.3">
      <c r="A304" s="1">
        <v>43891</v>
      </c>
      <c r="B304">
        <v>29.299999</v>
      </c>
      <c r="C304">
        <v>29.299999</v>
      </c>
      <c r="D304">
        <v>18.110001</v>
      </c>
      <c r="E304">
        <v>20.940000999999999</v>
      </c>
      <c r="F304">
        <v>17.240462999999998</v>
      </c>
      <c r="G304">
        <v>0</v>
      </c>
    </row>
    <row r="305" spans="1:7" x14ac:dyDescent="0.3">
      <c r="A305" s="1">
        <v>43922</v>
      </c>
      <c r="B305">
        <v>19.600000000000001</v>
      </c>
      <c r="C305">
        <v>25.139999</v>
      </c>
      <c r="D305">
        <v>19.110001</v>
      </c>
      <c r="E305">
        <v>24.25</v>
      </c>
      <c r="F305">
        <v>20.024773</v>
      </c>
      <c r="G305">
        <v>0</v>
      </c>
    </row>
    <row r="306" spans="1:7" x14ac:dyDescent="0.3">
      <c r="A306" s="1">
        <v>43952</v>
      </c>
      <c r="B306">
        <v>23.200001</v>
      </c>
      <c r="C306">
        <v>26.209999</v>
      </c>
      <c r="D306">
        <v>21.389999</v>
      </c>
      <c r="E306">
        <v>24.940000999999999</v>
      </c>
      <c r="F306">
        <v>20.594550999999999</v>
      </c>
      <c r="G306">
        <v>0</v>
      </c>
    </row>
    <row r="307" spans="1:7" x14ac:dyDescent="0.3">
      <c r="A307" s="1">
        <v>43983</v>
      </c>
      <c r="B307">
        <v>25.190000999999999</v>
      </c>
      <c r="C307">
        <v>29.16</v>
      </c>
      <c r="D307">
        <v>24.209999</v>
      </c>
      <c r="E307">
        <v>25.540001</v>
      </c>
      <c r="F307">
        <v>21.090004</v>
      </c>
      <c r="G307">
        <v>0</v>
      </c>
    </row>
    <row r="308" spans="1:7" x14ac:dyDescent="0.3">
      <c r="A308" s="1">
        <v>44013</v>
      </c>
      <c r="B308">
        <v>24.889999</v>
      </c>
      <c r="C308">
        <v>27.01</v>
      </c>
      <c r="D308">
        <v>24.110001</v>
      </c>
      <c r="E308">
        <v>26.360001</v>
      </c>
      <c r="F308">
        <v>21.821211000000002</v>
      </c>
      <c r="G308">
        <v>0</v>
      </c>
    </row>
    <row r="309" spans="1:7" x14ac:dyDescent="0.3">
      <c r="A309" s="1">
        <v>44044</v>
      </c>
      <c r="B309">
        <v>26.73</v>
      </c>
      <c r="C309">
        <v>28.709999</v>
      </c>
      <c r="D309">
        <v>26.73</v>
      </c>
      <c r="E309">
        <v>27.83</v>
      </c>
      <c r="F309">
        <v>23.038103</v>
      </c>
      <c r="G309">
        <v>0</v>
      </c>
    </row>
    <row r="310" spans="1:7" x14ac:dyDescent="0.3">
      <c r="A310" s="1">
        <v>44075</v>
      </c>
      <c r="B310">
        <v>28.18</v>
      </c>
      <c r="C310">
        <v>28.360001</v>
      </c>
      <c r="D310">
        <v>25.48</v>
      </c>
      <c r="E310">
        <v>26.299999</v>
      </c>
      <c r="F310">
        <v>21.771543999999999</v>
      </c>
      <c r="G310">
        <v>0</v>
      </c>
    </row>
    <row r="311" spans="1:7" x14ac:dyDescent="0.3">
      <c r="A311" s="1">
        <v>44105</v>
      </c>
      <c r="B311">
        <v>26.66</v>
      </c>
      <c r="C311">
        <v>29.309999000000001</v>
      </c>
      <c r="D311">
        <v>26.66</v>
      </c>
      <c r="E311">
        <v>27.34</v>
      </c>
      <c r="F311">
        <v>22.718864</v>
      </c>
      <c r="G311">
        <v>0</v>
      </c>
    </row>
    <row r="312" spans="1:7" x14ac:dyDescent="0.3">
      <c r="A312" s="1">
        <v>44136</v>
      </c>
      <c r="B312">
        <v>28.02</v>
      </c>
      <c r="C312">
        <v>33.770000000000003</v>
      </c>
      <c r="D312">
        <v>28.02</v>
      </c>
      <c r="E312">
        <v>32.229999999999997</v>
      </c>
      <c r="F312">
        <v>26.782335</v>
      </c>
      <c r="G312">
        <v>0</v>
      </c>
    </row>
    <row r="313" spans="1:7" x14ac:dyDescent="0.3">
      <c r="A313" s="1">
        <v>44166</v>
      </c>
      <c r="B313">
        <v>32.700001</v>
      </c>
      <c r="C313">
        <v>34.619999</v>
      </c>
      <c r="D313">
        <v>32.700001</v>
      </c>
      <c r="E313">
        <v>34.43</v>
      </c>
      <c r="F313">
        <v>28.610481</v>
      </c>
      <c r="G313">
        <v>0</v>
      </c>
    </row>
    <row r="314" spans="1:7" x14ac:dyDescent="0.3">
      <c r="A314" s="1">
        <v>44197</v>
      </c>
      <c r="B314">
        <v>34.07</v>
      </c>
      <c r="C314">
        <v>38.110000999999997</v>
      </c>
      <c r="D314">
        <v>34.07</v>
      </c>
      <c r="E314">
        <v>36.360000999999997</v>
      </c>
      <c r="F314">
        <v>30.615753000000002</v>
      </c>
      <c r="G314">
        <v>0</v>
      </c>
    </row>
    <row r="315" spans="1:7" x14ac:dyDescent="0.3">
      <c r="A315" s="1">
        <v>44228</v>
      </c>
      <c r="B315">
        <v>37.310001</v>
      </c>
      <c r="C315">
        <v>42.27</v>
      </c>
      <c r="D315">
        <v>37.310001</v>
      </c>
      <c r="E315">
        <v>40.779998999999997</v>
      </c>
      <c r="F315">
        <v>34.337466999999997</v>
      </c>
      <c r="G315">
        <v>0</v>
      </c>
    </row>
    <row r="316" spans="1:7" x14ac:dyDescent="0.3">
      <c r="A316" s="1">
        <v>44256</v>
      </c>
      <c r="B316">
        <v>42.040000999999997</v>
      </c>
      <c r="C316">
        <v>45.650002000000001</v>
      </c>
      <c r="D316">
        <v>41.450001</v>
      </c>
      <c r="E316">
        <v>43.470001000000003</v>
      </c>
      <c r="F316">
        <v>36.602500999999997</v>
      </c>
      <c r="G316">
        <v>0</v>
      </c>
    </row>
    <row r="317" spans="1:7" x14ac:dyDescent="0.3">
      <c r="A317" s="1">
        <v>44287</v>
      </c>
      <c r="B317">
        <v>44.080002</v>
      </c>
      <c r="C317">
        <v>45.110000999999997</v>
      </c>
      <c r="D317">
        <v>43.099997999999999</v>
      </c>
      <c r="E317">
        <v>44.459999000000003</v>
      </c>
      <c r="F317">
        <v>37.510413999999997</v>
      </c>
      <c r="G317">
        <v>0</v>
      </c>
    </row>
    <row r="318" spans="1:7" x14ac:dyDescent="0.3">
      <c r="A318" s="1">
        <v>44317</v>
      </c>
      <c r="B318">
        <v>45.360000999999997</v>
      </c>
      <c r="C318">
        <v>46.889999000000003</v>
      </c>
      <c r="D318">
        <v>44.419998</v>
      </c>
      <c r="E318">
        <v>46.509998000000003</v>
      </c>
      <c r="F318">
        <v>39.239975000000001</v>
      </c>
      <c r="G318">
        <v>0</v>
      </c>
    </row>
    <row r="319" spans="1:7" x14ac:dyDescent="0.3">
      <c r="A319" s="1">
        <v>44348</v>
      </c>
      <c r="B319">
        <v>47.279998999999997</v>
      </c>
      <c r="C319">
        <v>47.459999000000003</v>
      </c>
      <c r="D319">
        <v>43.91</v>
      </c>
      <c r="E319">
        <v>45.099997999999999</v>
      </c>
      <c r="F319">
        <v>38.050381000000002</v>
      </c>
      <c r="G319">
        <v>0</v>
      </c>
    </row>
    <row r="320" spans="1:7" x14ac:dyDescent="0.3">
      <c r="A320" s="1">
        <v>44378</v>
      </c>
      <c r="B320">
        <v>45.560001</v>
      </c>
      <c r="C320">
        <v>45.560001</v>
      </c>
      <c r="D320">
        <v>41.630001</v>
      </c>
      <c r="E320">
        <v>44.16</v>
      </c>
      <c r="F320">
        <v>37.349837999999998</v>
      </c>
      <c r="G320">
        <v>0</v>
      </c>
    </row>
    <row r="321" spans="1:7" x14ac:dyDescent="0.3">
      <c r="A321" s="1">
        <v>44409</v>
      </c>
      <c r="B321">
        <v>43.77</v>
      </c>
      <c r="C321">
        <v>45.610000999999997</v>
      </c>
      <c r="D321">
        <v>43.029998999999997</v>
      </c>
      <c r="E321">
        <v>45.130001</v>
      </c>
      <c r="F321">
        <v>38.170245999999999</v>
      </c>
      <c r="G321">
        <v>0</v>
      </c>
    </row>
    <row r="322" spans="1:7" x14ac:dyDescent="0.3">
      <c r="A322" s="1">
        <v>44440</v>
      </c>
      <c r="B322">
        <v>45.16</v>
      </c>
      <c r="C322">
        <v>45.860000999999997</v>
      </c>
      <c r="D322">
        <v>42.900002000000001</v>
      </c>
      <c r="E322">
        <v>44.619999</v>
      </c>
      <c r="F322">
        <v>37.738903000000001</v>
      </c>
      <c r="G322">
        <v>0</v>
      </c>
    </row>
    <row r="323" spans="1:7" x14ac:dyDescent="0.3">
      <c r="A323" s="1">
        <v>44470</v>
      </c>
      <c r="B323">
        <v>45.450001</v>
      </c>
      <c r="C323">
        <v>47.459999000000003</v>
      </c>
      <c r="D323">
        <v>45.380001</v>
      </c>
      <c r="E323">
        <v>46.330002</v>
      </c>
      <c r="F323">
        <v>39.303978000000001</v>
      </c>
      <c r="G323">
        <v>0</v>
      </c>
    </row>
    <row r="324" spans="1:7" x14ac:dyDescent="0.3">
      <c r="A324" s="1">
        <v>44501</v>
      </c>
      <c r="B324">
        <v>47.57</v>
      </c>
      <c r="C324">
        <v>49.220001000000003</v>
      </c>
      <c r="D324">
        <v>45.259998000000003</v>
      </c>
      <c r="E324">
        <v>45.259998000000003</v>
      </c>
      <c r="F324">
        <v>38.396239999999999</v>
      </c>
      <c r="G324">
        <v>0</v>
      </c>
    </row>
    <row r="325" spans="1:7" x14ac:dyDescent="0.3">
      <c r="A325" s="1">
        <v>44531</v>
      </c>
      <c r="B325">
        <v>44.639999000000003</v>
      </c>
      <c r="C325">
        <v>47.240001999999997</v>
      </c>
      <c r="D325">
        <v>40.82</v>
      </c>
      <c r="E325">
        <v>43.470001000000003</v>
      </c>
      <c r="F325">
        <v>36.877701000000002</v>
      </c>
      <c r="G325">
        <v>0</v>
      </c>
    </row>
    <row r="326" spans="1:7" x14ac:dyDescent="0.3">
      <c r="A326" s="1">
        <v>44562</v>
      </c>
      <c r="B326">
        <v>44.009998000000003</v>
      </c>
      <c r="C326">
        <v>45</v>
      </c>
      <c r="D326">
        <v>41.240001999999997</v>
      </c>
      <c r="E326">
        <v>42.209999000000003</v>
      </c>
      <c r="F326">
        <v>39.403049000000003</v>
      </c>
      <c r="G326">
        <v>0</v>
      </c>
    </row>
    <row r="327" spans="1:7" x14ac:dyDescent="0.3">
      <c r="A327" s="1">
        <v>44593</v>
      </c>
      <c r="B327">
        <v>42.77</v>
      </c>
      <c r="C327">
        <v>43.700001</v>
      </c>
      <c r="D327">
        <v>41.580002</v>
      </c>
      <c r="E327">
        <v>43.07</v>
      </c>
      <c r="F327">
        <v>40.205863999999998</v>
      </c>
      <c r="G327">
        <v>0</v>
      </c>
    </row>
    <row r="328" spans="1:7" x14ac:dyDescent="0.3">
      <c r="A328" s="1">
        <v>44621</v>
      </c>
      <c r="B328">
        <v>42.09</v>
      </c>
      <c r="C328">
        <v>44.790000999999997</v>
      </c>
      <c r="D328">
        <v>41.599997999999999</v>
      </c>
      <c r="E328">
        <v>43.369999</v>
      </c>
      <c r="F328">
        <v>40.485908999999999</v>
      </c>
      <c r="G328">
        <v>0</v>
      </c>
    </row>
    <row r="329" spans="1:7" x14ac:dyDescent="0.3">
      <c r="A329" s="1">
        <v>44652</v>
      </c>
      <c r="B329">
        <v>43.59</v>
      </c>
      <c r="C329">
        <v>44.07</v>
      </c>
      <c r="D329">
        <v>40.880001</v>
      </c>
      <c r="E329">
        <v>40.880001</v>
      </c>
      <c r="F329">
        <v>38.218670000000003</v>
      </c>
      <c r="G329">
        <v>0</v>
      </c>
    </row>
    <row r="330" spans="1:7" x14ac:dyDescent="0.3">
      <c r="A330" s="1">
        <v>44682</v>
      </c>
      <c r="B330">
        <v>41.139999000000003</v>
      </c>
      <c r="C330">
        <v>42.919998</v>
      </c>
      <c r="D330">
        <v>39.419998</v>
      </c>
      <c r="E330">
        <v>42.48</v>
      </c>
      <c r="F330">
        <v>39.714508000000002</v>
      </c>
      <c r="G330">
        <v>0</v>
      </c>
    </row>
    <row r="331" spans="1:7" x14ac:dyDescent="0.3">
      <c r="A331" s="1">
        <v>44713</v>
      </c>
      <c r="B331">
        <v>42.450001</v>
      </c>
      <c r="C331">
        <v>43.779998999999997</v>
      </c>
      <c r="D331">
        <v>37.43</v>
      </c>
      <c r="E331">
        <v>37.779998999999997</v>
      </c>
      <c r="F331">
        <v>35.320476999999997</v>
      </c>
      <c r="G331">
        <v>0</v>
      </c>
    </row>
    <row r="332" spans="1:7" x14ac:dyDescent="0.3">
      <c r="A332" s="1">
        <v>44743</v>
      </c>
      <c r="B332">
        <v>38.110000999999997</v>
      </c>
      <c r="C332">
        <v>41.529998999999997</v>
      </c>
      <c r="D332">
        <v>37.049999</v>
      </c>
      <c r="E332">
        <v>41.529998999999997</v>
      </c>
      <c r="F332">
        <v>38.942248999999997</v>
      </c>
      <c r="G332">
        <v>0</v>
      </c>
    </row>
    <row r="333" spans="1:7" x14ac:dyDescent="0.3">
      <c r="A333" s="1">
        <v>44774</v>
      </c>
      <c r="B333">
        <v>41.630001</v>
      </c>
      <c r="C333">
        <v>43.790000999999997</v>
      </c>
      <c r="D333">
        <v>40.630001</v>
      </c>
      <c r="E333">
        <v>40.630001</v>
      </c>
      <c r="F333">
        <v>38.098331000000002</v>
      </c>
      <c r="G333">
        <v>0</v>
      </c>
    </row>
    <row r="334" spans="1:7" x14ac:dyDescent="0.3">
      <c r="A334" s="1">
        <v>44805</v>
      </c>
      <c r="B334">
        <v>40.119999</v>
      </c>
      <c r="C334">
        <v>41.529998999999997</v>
      </c>
      <c r="D334">
        <v>36.639999000000003</v>
      </c>
      <c r="E334">
        <v>36.639999000000003</v>
      </c>
      <c r="F334">
        <v>34.356949</v>
      </c>
      <c r="G334">
        <v>0</v>
      </c>
    </row>
    <row r="335" spans="1:7" x14ac:dyDescent="0.3">
      <c r="A335" s="1">
        <v>44835</v>
      </c>
      <c r="B335">
        <v>37.810001</v>
      </c>
      <c r="C335">
        <v>42.009998000000003</v>
      </c>
      <c r="D335">
        <v>37.810001</v>
      </c>
      <c r="E335">
        <v>42.009998000000003</v>
      </c>
      <c r="F335">
        <v>39.563212999999998</v>
      </c>
      <c r="G335">
        <v>0</v>
      </c>
    </row>
    <row r="336" spans="1:7" x14ac:dyDescent="0.3">
      <c r="A336" s="1">
        <v>44866</v>
      </c>
      <c r="B336">
        <v>42.220001000000003</v>
      </c>
      <c r="C336">
        <v>44.16</v>
      </c>
      <c r="D336">
        <v>40.990001999999997</v>
      </c>
      <c r="E336">
        <v>44.16</v>
      </c>
      <c r="F336">
        <v>41.587997000000001</v>
      </c>
      <c r="G336">
        <v>0</v>
      </c>
    </row>
    <row r="337" spans="1:7" x14ac:dyDescent="0.3">
      <c r="A337" s="1">
        <v>44896</v>
      </c>
      <c r="B337">
        <v>44.02</v>
      </c>
      <c r="C337">
        <v>44.130001</v>
      </c>
      <c r="D337">
        <v>38.610000999999997</v>
      </c>
      <c r="E337">
        <v>39.290000999999997</v>
      </c>
      <c r="F337">
        <v>37.001640000000002</v>
      </c>
      <c r="G337">
        <v>0</v>
      </c>
    </row>
    <row r="338" spans="1:7" x14ac:dyDescent="0.3">
      <c r="A338" s="1">
        <v>44927</v>
      </c>
      <c r="B338">
        <v>39.130001</v>
      </c>
      <c r="C338">
        <v>42.68</v>
      </c>
      <c r="D338">
        <v>39.130001</v>
      </c>
      <c r="E338">
        <v>42.68</v>
      </c>
      <c r="F338">
        <v>42.509148000000003</v>
      </c>
      <c r="G338">
        <v>0</v>
      </c>
    </row>
    <row r="339" spans="1:7" x14ac:dyDescent="0.3">
      <c r="A339" s="1">
        <v>44958</v>
      </c>
      <c r="B339">
        <v>43.200001</v>
      </c>
      <c r="C339">
        <v>43.810001</v>
      </c>
      <c r="D339">
        <v>42</v>
      </c>
      <c r="E339">
        <v>42.279998999999997</v>
      </c>
      <c r="F339">
        <v>42.110748000000001</v>
      </c>
      <c r="G339">
        <v>0</v>
      </c>
    </row>
    <row r="340" spans="1:7" x14ac:dyDescent="0.3">
      <c r="A340" s="1">
        <v>44986</v>
      </c>
      <c r="B340">
        <v>42.459999000000003</v>
      </c>
      <c r="C340">
        <v>42.98</v>
      </c>
      <c r="D340">
        <v>37.5</v>
      </c>
      <c r="E340">
        <v>39.110000999999997</v>
      </c>
      <c r="F340">
        <v>38.953437999999998</v>
      </c>
      <c r="G340">
        <v>0</v>
      </c>
    </row>
    <row r="341" spans="1:7" x14ac:dyDescent="0.3">
      <c r="A341" s="1">
        <v>45017</v>
      </c>
      <c r="B341">
        <v>39.169998</v>
      </c>
      <c r="C341">
        <v>39.169998</v>
      </c>
      <c r="D341">
        <v>37.349997999999999</v>
      </c>
      <c r="E341">
        <v>38.389999000000003</v>
      </c>
      <c r="F341">
        <v>38.389999000000003</v>
      </c>
      <c r="G341">
        <v>0</v>
      </c>
    </row>
    <row r="342" spans="1:7" x14ac:dyDescent="0.3">
      <c r="A342" s="1">
        <v>45047</v>
      </c>
      <c r="B342">
        <v>38.240001999999997</v>
      </c>
      <c r="C342">
        <v>38.240001999999997</v>
      </c>
      <c r="D342">
        <v>36.5</v>
      </c>
      <c r="E342">
        <v>37.029998999999997</v>
      </c>
      <c r="F342">
        <v>37.029998999999997</v>
      </c>
      <c r="G342">
        <v>0</v>
      </c>
    </row>
    <row r="343" spans="1:7" x14ac:dyDescent="0.3">
      <c r="A343" s="1">
        <v>45078</v>
      </c>
      <c r="B343">
        <v>37.419998</v>
      </c>
      <c r="C343">
        <v>40.689999</v>
      </c>
      <c r="D343">
        <v>37.419998</v>
      </c>
      <c r="E343">
        <v>40.689999</v>
      </c>
      <c r="F343">
        <v>40.689999</v>
      </c>
      <c r="G343">
        <v>0</v>
      </c>
    </row>
    <row r="344" spans="1:7" x14ac:dyDescent="0.3">
      <c r="A344" s="1">
        <v>45108</v>
      </c>
      <c r="B344">
        <v>40.959999000000003</v>
      </c>
      <c r="C344">
        <v>43.470001000000003</v>
      </c>
      <c r="D344">
        <v>39.82</v>
      </c>
      <c r="E344">
        <v>43.470001000000003</v>
      </c>
      <c r="F344">
        <v>43.470001000000003</v>
      </c>
      <c r="G344">
        <v>0</v>
      </c>
    </row>
    <row r="345" spans="1:7" x14ac:dyDescent="0.3">
      <c r="A345" s="1">
        <v>45139</v>
      </c>
      <c r="B345">
        <v>43.43</v>
      </c>
      <c r="C345">
        <v>43.43</v>
      </c>
      <c r="D345">
        <v>41.049999</v>
      </c>
      <c r="E345">
        <v>42.139999000000003</v>
      </c>
      <c r="F345">
        <v>42.139999000000003</v>
      </c>
      <c r="G345">
        <v>0</v>
      </c>
    </row>
    <row r="346" spans="1:7" x14ac:dyDescent="0.3">
      <c r="A346" s="1">
        <v>45170</v>
      </c>
      <c r="B346">
        <v>42.73</v>
      </c>
      <c r="C346">
        <v>42.73</v>
      </c>
      <c r="D346">
        <v>39.810001</v>
      </c>
      <c r="E346">
        <v>40.18</v>
      </c>
      <c r="F346">
        <v>40.18</v>
      </c>
      <c r="G34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B0C0-709F-FA46-BD7C-049335DE595B}">
  <dimension ref="A1:G346"/>
  <sheetViews>
    <sheetView workbookViewId="0">
      <selection activeCell="F9" sqref="F9"/>
    </sheetView>
  </sheetViews>
  <sheetFormatPr defaultColWidth="11.19921875" defaultRowHeight="15.6" x14ac:dyDescent="0.3"/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 s="1">
        <v>34700</v>
      </c>
      <c r="B2">
        <v>10.050000000000001</v>
      </c>
      <c r="C2">
        <v>10.46</v>
      </c>
      <c r="D2">
        <v>10.050000000000001</v>
      </c>
      <c r="E2">
        <v>10.23</v>
      </c>
      <c r="F2">
        <v>2.739182</v>
      </c>
      <c r="G2">
        <v>0</v>
      </c>
    </row>
    <row r="3" spans="1:7" x14ac:dyDescent="0.3">
      <c r="A3" s="1">
        <v>34731</v>
      </c>
      <c r="B3">
        <v>10.26</v>
      </c>
      <c r="C3">
        <v>10.84</v>
      </c>
      <c r="D3">
        <v>10.26</v>
      </c>
      <c r="E3">
        <v>10.81</v>
      </c>
      <c r="F3">
        <v>2.894485</v>
      </c>
      <c r="G3">
        <v>0</v>
      </c>
    </row>
    <row r="4" spans="1:7" x14ac:dyDescent="0.3">
      <c r="A4" s="1">
        <v>34759</v>
      </c>
      <c r="B4">
        <v>10.73</v>
      </c>
      <c r="C4">
        <v>11</v>
      </c>
      <c r="D4">
        <v>10.51</v>
      </c>
      <c r="E4">
        <v>10.93</v>
      </c>
      <c r="F4">
        <v>2.9266169999999998</v>
      </c>
      <c r="G4">
        <v>0</v>
      </c>
    </row>
    <row r="5" spans="1:7" x14ac:dyDescent="0.3">
      <c r="A5" s="1">
        <v>34790</v>
      </c>
      <c r="B5">
        <v>10.96</v>
      </c>
      <c r="C5">
        <v>11.32</v>
      </c>
      <c r="D5">
        <v>10.96</v>
      </c>
      <c r="E5">
        <v>11.32</v>
      </c>
      <c r="F5">
        <v>3.044921</v>
      </c>
      <c r="G5">
        <v>0</v>
      </c>
    </row>
    <row r="6" spans="1:7" x14ac:dyDescent="0.3">
      <c r="A6" s="1">
        <v>34820</v>
      </c>
      <c r="B6">
        <v>11.32</v>
      </c>
      <c r="C6">
        <v>11.91</v>
      </c>
      <c r="D6">
        <v>11.3</v>
      </c>
      <c r="E6">
        <v>11.91</v>
      </c>
      <c r="F6">
        <v>3.2036229999999999</v>
      </c>
      <c r="G6">
        <v>0</v>
      </c>
    </row>
    <row r="7" spans="1:7" x14ac:dyDescent="0.3">
      <c r="A7" s="1">
        <v>34851</v>
      </c>
      <c r="B7">
        <v>11.96</v>
      </c>
      <c r="C7">
        <v>12.26</v>
      </c>
      <c r="D7">
        <v>11.72</v>
      </c>
      <c r="E7">
        <v>12.11</v>
      </c>
      <c r="F7">
        <v>3.2574209999999999</v>
      </c>
      <c r="G7">
        <v>0</v>
      </c>
    </row>
    <row r="8" spans="1:7" x14ac:dyDescent="0.3">
      <c r="A8" s="1">
        <v>34881</v>
      </c>
      <c r="B8">
        <v>12.18</v>
      </c>
      <c r="C8">
        <v>12.7</v>
      </c>
      <c r="D8">
        <v>12.18</v>
      </c>
      <c r="E8">
        <v>12.64</v>
      </c>
      <c r="F8">
        <v>3.4171109999999998</v>
      </c>
      <c r="G8">
        <v>0</v>
      </c>
    </row>
    <row r="9" spans="1:7" x14ac:dyDescent="0.3">
      <c r="A9" s="1">
        <v>34912</v>
      </c>
      <c r="B9">
        <v>12.58</v>
      </c>
      <c r="C9">
        <v>13.01</v>
      </c>
      <c r="D9">
        <v>12.58</v>
      </c>
      <c r="E9">
        <v>13.01</v>
      </c>
      <c r="F9">
        <v>3.5171380000000001</v>
      </c>
      <c r="G9">
        <v>0</v>
      </c>
    </row>
    <row r="10" spans="1:7" x14ac:dyDescent="0.3">
      <c r="A10" s="1">
        <v>34943</v>
      </c>
      <c r="B10">
        <v>13.13</v>
      </c>
      <c r="C10">
        <v>13.52</v>
      </c>
      <c r="D10">
        <v>13.13</v>
      </c>
      <c r="E10">
        <v>13.37</v>
      </c>
      <c r="F10">
        <v>3.6144590000000001</v>
      </c>
      <c r="G10">
        <v>0</v>
      </c>
    </row>
    <row r="11" spans="1:7" x14ac:dyDescent="0.3">
      <c r="A11" s="1">
        <v>34973</v>
      </c>
      <c r="B11">
        <v>13.34</v>
      </c>
      <c r="C11">
        <v>13.49</v>
      </c>
      <c r="D11">
        <v>12.72</v>
      </c>
      <c r="E11">
        <v>12.82</v>
      </c>
      <c r="F11">
        <v>3.4894210000000001</v>
      </c>
      <c r="G11">
        <v>0</v>
      </c>
    </row>
    <row r="12" spans="1:7" x14ac:dyDescent="0.3">
      <c r="A12" s="1">
        <v>35004</v>
      </c>
      <c r="B12">
        <v>12.9</v>
      </c>
      <c r="C12">
        <v>13.43</v>
      </c>
      <c r="D12">
        <v>12.9</v>
      </c>
      <c r="E12">
        <v>13.29</v>
      </c>
      <c r="F12">
        <v>3.6173489999999999</v>
      </c>
      <c r="G12">
        <v>0</v>
      </c>
    </row>
    <row r="13" spans="1:7" x14ac:dyDescent="0.3">
      <c r="A13" s="1">
        <v>35034</v>
      </c>
      <c r="B13">
        <v>13.38</v>
      </c>
      <c r="C13">
        <v>13.56</v>
      </c>
      <c r="D13">
        <v>13.09</v>
      </c>
      <c r="E13">
        <v>13.34</v>
      </c>
      <c r="F13">
        <v>3.6947839999999998</v>
      </c>
      <c r="G13">
        <v>0</v>
      </c>
    </row>
    <row r="14" spans="1:7" x14ac:dyDescent="0.3">
      <c r="A14" s="1">
        <v>35065</v>
      </c>
      <c r="B14">
        <v>13.44</v>
      </c>
      <c r="C14">
        <v>13.72</v>
      </c>
      <c r="D14">
        <v>12.84</v>
      </c>
      <c r="E14">
        <v>13.72</v>
      </c>
      <c r="F14">
        <v>3.810657</v>
      </c>
      <c r="G14">
        <v>0</v>
      </c>
    </row>
    <row r="15" spans="1:7" x14ac:dyDescent="0.3">
      <c r="A15" s="1">
        <v>35096</v>
      </c>
      <c r="B15">
        <v>13.77</v>
      </c>
      <c r="C15">
        <v>14.07</v>
      </c>
      <c r="D15">
        <v>13.67</v>
      </c>
      <c r="E15">
        <v>13.92</v>
      </c>
      <c r="F15">
        <v>3.866206</v>
      </c>
      <c r="G15">
        <v>0</v>
      </c>
    </row>
    <row r="16" spans="1:7" x14ac:dyDescent="0.3">
      <c r="A16" s="1">
        <v>35125</v>
      </c>
      <c r="B16">
        <v>14.05</v>
      </c>
      <c r="C16">
        <v>14.4</v>
      </c>
      <c r="D16">
        <v>13.8</v>
      </c>
      <c r="E16">
        <v>14.35</v>
      </c>
      <c r="F16">
        <v>3.9856389999999999</v>
      </c>
      <c r="G16">
        <v>0</v>
      </c>
    </row>
    <row r="17" spans="1:7" x14ac:dyDescent="0.3">
      <c r="A17" s="1">
        <v>35156</v>
      </c>
      <c r="B17">
        <v>14.51</v>
      </c>
      <c r="C17">
        <v>14.6</v>
      </c>
      <c r="D17">
        <v>14.09</v>
      </c>
      <c r="E17">
        <v>14.59</v>
      </c>
      <c r="F17">
        <v>4.0659340000000004</v>
      </c>
      <c r="G17">
        <v>0</v>
      </c>
    </row>
    <row r="18" spans="1:7" x14ac:dyDescent="0.3">
      <c r="A18" s="1">
        <v>35186</v>
      </c>
      <c r="B18">
        <v>14.64</v>
      </c>
      <c r="C18">
        <v>15.07</v>
      </c>
      <c r="D18">
        <v>14.34</v>
      </c>
      <c r="E18">
        <v>14.83</v>
      </c>
      <c r="F18">
        <v>4.1328170000000002</v>
      </c>
      <c r="G18">
        <v>0</v>
      </c>
    </row>
    <row r="19" spans="1:7" x14ac:dyDescent="0.3">
      <c r="A19" s="1">
        <v>35217</v>
      </c>
      <c r="B19">
        <v>14.83</v>
      </c>
      <c r="C19">
        <v>15.03</v>
      </c>
      <c r="D19">
        <v>14.23</v>
      </c>
      <c r="E19">
        <v>14.32</v>
      </c>
      <c r="F19">
        <v>3.9906920000000001</v>
      </c>
      <c r="G19">
        <v>0</v>
      </c>
    </row>
    <row r="20" spans="1:7" x14ac:dyDescent="0.3">
      <c r="A20" s="1">
        <v>35247</v>
      </c>
      <c r="B20">
        <v>14.56</v>
      </c>
      <c r="C20">
        <v>14.56</v>
      </c>
      <c r="D20">
        <v>13.39</v>
      </c>
      <c r="E20">
        <v>13.68</v>
      </c>
      <c r="F20">
        <v>3.8325209999999998</v>
      </c>
      <c r="G20">
        <v>0</v>
      </c>
    </row>
    <row r="21" spans="1:7" x14ac:dyDescent="0.3">
      <c r="A21" s="1">
        <v>35278</v>
      </c>
      <c r="B21">
        <v>13.9</v>
      </c>
      <c r="C21">
        <v>14.47</v>
      </c>
      <c r="D21">
        <v>13.9</v>
      </c>
      <c r="E21">
        <v>14.23</v>
      </c>
      <c r="F21">
        <v>3.9866039999999998</v>
      </c>
      <c r="G21">
        <v>0</v>
      </c>
    </row>
    <row r="22" spans="1:7" x14ac:dyDescent="0.3">
      <c r="A22" s="1">
        <v>35309</v>
      </c>
      <c r="B22">
        <v>14.21</v>
      </c>
      <c r="C22">
        <v>14.53</v>
      </c>
      <c r="D22">
        <v>14.06</v>
      </c>
      <c r="E22">
        <v>14.44</v>
      </c>
      <c r="F22">
        <v>4.045439</v>
      </c>
      <c r="G22">
        <v>0</v>
      </c>
    </row>
    <row r="23" spans="1:7" x14ac:dyDescent="0.3">
      <c r="A23" s="1">
        <v>35339</v>
      </c>
      <c r="B23">
        <v>14.53</v>
      </c>
      <c r="C23">
        <v>14.96</v>
      </c>
      <c r="D23">
        <v>14.53</v>
      </c>
      <c r="E23">
        <v>14.91</v>
      </c>
      <c r="F23">
        <v>4.19625</v>
      </c>
      <c r="G23">
        <v>0</v>
      </c>
    </row>
    <row r="24" spans="1:7" x14ac:dyDescent="0.3">
      <c r="A24" s="1">
        <v>35370</v>
      </c>
      <c r="B24">
        <v>14.91</v>
      </c>
      <c r="C24">
        <v>15.99</v>
      </c>
      <c r="D24">
        <v>14.91</v>
      </c>
      <c r="E24">
        <v>15.99</v>
      </c>
      <c r="F24">
        <v>4.5002040000000001</v>
      </c>
      <c r="G24">
        <v>0</v>
      </c>
    </row>
    <row r="25" spans="1:7" x14ac:dyDescent="0.3">
      <c r="A25" s="1">
        <v>35400</v>
      </c>
      <c r="B25">
        <v>16.040001</v>
      </c>
      <c r="C25">
        <v>16.100000000000001</v>
      </c>
      <c r="D25">
        <v>15.38</v>
      </c>
      <c r="E25">
        <v>15.38</v>
      </c>
      <c r="F25">
        <v>4.3285280000000004</v>
      </c>
      <c r="G25">
        <v>0</v>
      </c>
    </row>
    <row r="26" spans="1:7" x14ac:dyDescent="0.3">
      <c r="A26" s="1">
        <v>35431</v>
      </c>
      <c r="B26">
        <v>15.4</v>
      </c>
      <c r="C26">
        <v>16.149999999999999</v>
      </c>
      <c r="D26">
        <v>15.4</v>
      </c>
      <c r="E26">
        <v>15.93</v>
      </c>
      <c r="F26">
        <v>4.6139469999999996</v>
      </c>
      <c r="G26">
        <v>0</v>
      </c>
    </row>
    <row r="27" spans="1:7" x14ac:dyDescent="0.3">
      <c r="A27" s="1">
        <v>35462</v>
      </c>
      <c r="B27">
        <v>15.96</v>
      </c>
      <c r="C27">
        <v>16.540001</v>
      </c>
      <c r="D27">
        <v>15.84</v>
      </c>
      <c r="E27">
        <v>16.239999999999998</v>
      </c>
      <c r="F27">
        <v>4.7037360000000001</v>
      </c>
      <c r="G27">
        <v>0</v>
      </c>
    </row>
    <row r="28" spans="1:7" x14ac:dyDescent="0.3">
      <c r="A28" s="1">
        <v>35490</v>
      </c>
      <c r="B28">
        <v>16.34</v>
      </c>
      <c r="C28">
        <v>16.52</v>
      </c>
      <c r="D28">
        <v>15.45</v>
      </c>
      <c r="E28">
        <v>15.45</v>
      </c>
      <c r="F28">
        <v>4.4749189999999999</v>
      </c>
      <c r="G28">
        <v>0</v>
      </c>
    </row>
    <row r="29" spans="1:7" x14ac:dyDescent="0.3">
      <c r="A29" s="1">
        <v>35521</v>
      </c>
      <c r="B29">
        <v>15.47</v>
      </c>
      <c r="C29">
        <v>15.96</v>
      </c>
      <c r="D29">
        <v>15.15</v>
      </c>
      <c r="E29">
        <v>15.96</v>
      </c>
      <c r="F29">
        <v>4.6367479999999999</v>
      </c>
      <c r="G29">
        <v>0</v>
      </c>
    </row>
    <row r="30" spans="1:7" x14ac:dyDescent="0.3">
      <c r="A30" s="1">
        <v>35551</v>
      </c>
      <c r="B30">
        <v>15.94</v>
      </c>
      <c r="C30">
        <v>17.190000999999999</v>
      </c>
      <c r="D30">
        <v>15.94</v>
      </c>
      <c r="E30">
        <v>17.190000999999999</v>
      </c>
      <c r="F30">
        <v>4.9940910000000001</v>
      </c>
      <c r="G30">
        <v>0</v>
      </c>
    </row>
    <row r="31" spans="1:7" x14ac:dyDescent="0.3">
      <c r="A31" s="1">
        <v>35582</v>
      </c>
      <c r="B31">
        <v>17.170000000000002</v>
      </c>
      <c r="C31">
        <v>17.91</v>
      </c>
      <c r="D31">
        <v>17.16</v>
      </c>
      <c r="E31">
        <v>17.639999</v>
      </c>
      <c r="F31">
        <v>5.1248250000000004</v>
      </c>
      <c r="G31">
        <v>0</v>
      </c>
    </row>
    <row r="32" spans="1:7" x14ac:dyDescent="0.3">
      <c r="A32" s="1">
        <v>35612</v>
      </c>
      <c r="B32">
        <v>17.77</v>
      </c>
      <c r="C32">
        <v>19.41</v>
      </c>
      <c r="D32">
        <v>17.77</v>
      </c>
      <c r="E32">
        <v>19.41</v>
      </c>
      <c r="F32">
        <v>5.6639590000000002</v>
      </c>
      <c r="G32">
        <v>0</v>
      </c>
    </row>
    <row r="33" spans="1:7" x14ac:dyDescent="0.3">
      <c r="A33" s="1">
        <v>35643</v>
      </c>
      <c r="B33">
        <v>19.389999</v>
      </c>
      <c r="C33">
        <v>19.57</v>
      </c>
      <c r="D33">
        <v>18.760000000000002</v>
      </c>
      <c r="E33">
        <v>19.120000999999998</v>
      </c>
      <c r="F33">
        <v>5.5793359999999996</v>
      </c>
      <c r="G33">
        <v>0</v>
      </c>
    </row>
    <row r="34" spans="1:7" x14ac:dyDescent="0.3">
      <c r="A34" s="1">
        <v>35674</v>
      </c>
      <c r="B34">
        <v>19.510000000000002</v>
      </c>
      <c r="C34">
        <v>20.309999000000001</v>
      </c>
      <c r="D34">
        <v>19.510000000000002</v>
      </c>
      <c r="E34">
        <v>20.059999000000001</v>
      </c>
      <c r="F34">
        <v>5.8536330000000003</v>
      </c>
      <c r="G34">
        <v>0</v>
      </c>
    </row>
    <row r="35" spans="1:7" x14ac:dyDescent="0.3">
      <c r="A35" s="1">
        <v>35704</v>
      </c>
      <c r="B35">
        <v>20.110001</v>
      </c>
      <c r="C35">
        <v>20.530000999999999</v>
      </c>
      <c r="D35">
        <v>18.620000999999998</v>
      </c>
      <c r="E35">
        <v>19.030000999999999</v>
      </c>
      <c r="F35">
        <v>5.5714090000000001</v>
      </c>
      <c r="G35">
        <v>0</v>
      </c>
    </row>
    <row r="36" spans="1:7" x14ac:dyDescent="0.3">
      <c r="A36" s="1">
        <v>35735</v>
      </c>
      <c r="B36">
        <v>19.559999000000001</v>
      </c>
      <c r="C36">
        <v>19.579999999999998</v>
      </c>
      <c r="D36">
        <v>18.82</v>
      </c>
      <c r="E36">
        <v>19.23</v>
      </c>
      <c r="F36">
        <v>5.6299630000000001</v>
      </c>
      <c r="G36">
        <v>0</v>
      </c>
    </row>
    <row r="37" spans="1:7" x14ac:dyDescent="0.3">
      <c r="A37" s="1">
        <v>35765</v>
      </c>
      <c r="B37">
        <v>19.600000000000001</v>
      </c>
      <c r="C37">
        <v>19.75</v>
      </c>
      <c r="D37">
        <v>17.870000999999998</v>
      </c>
      <c r="E37">
        <v>18.52</v>
      </c>
      <c r="F37">
        <v>5.4220990000000002</v>
      </c>
      <c r="G37">
        <v>0</v>
      </c>
    </row>
    <row r="38" spans="1:7" x14ac:dyDescent="0.3">
      <c r="A38" s="1">
        <v>35796</v>
      </c>
      <c r="B38">
        <v>18.579999999999998</v>
      </c>
      <c r="C38">
        <v>18.870000999999998</v>
      </c>
      <c r="D38">
        <v>17.600000000000001</v>
      </c>
      <c r="E38">
        <v>18.760000000000002</v>
      </c>
      <c r="F38">
        <v>5.7835200000000002</v>
      </c>
      <c r="G38">
        <v>0</v>
      </c>
    </row>
    <row r="39" spans="1:7" x14ac:dyDescent="0.3">
      <c r="A39" s="1">
        <v>35827</v>
      </c>
      <c r="B39">
        <v>19.16</v>
      </c>
      <c r="C39">
        <v>20.399999999999999</v>
      </c>
      <c r="D39">
        <v>19.16</v>
      </c>
      <c r="E39">
        <v>20.399999999999999</v>
      </c>
      <c r="F39">
        <v>6.2891120000000003</v>
      </c>
      <c r="G39">
        <v>0</v>
      </c>
    </row>
    <row r="40" spans="1:7" x14ac:dyDescent="0.3">
      <c r="A40" s="1">
        <v>35855</v>
      </c>
      <c r="B40">
        <v>20.49</v>
      </c>
      <c r="C40">
        <v>21.610001</v>
      </c>
      <c r="D40">
        <v>20.469999000000001</v>
      </c>
      <c r="E40">
        <v>21.49</v>
      </c>
      <c r="F40">
        <v>6.6251499999999997</v>
      </c>
      <c r="G40">
        <v>0</v>
      </c>
    </row>
    <row r="41" spans="1:7" x14ac:dyDescent="0.3">
      <c r="A41" s="1">
        <v>35886</v>
      </c>
      <c r="B41">
        <v>21.59</v>
      </c>
      <c r="C41">
        <v>22.370000999999998</v>
      </c>
      <c r="D41">
        <v>21.209999</v>
      </c>
      <c r="E41">
        <v>21.610001</v>
      </c>
      <c r="F41">
        <v>6.6769090000000002</v>
      </c>
      <c r="G41">
        <v>0</v>
      </c>
    </row>
    <row r="42" spans="1:7" x14ac:dyDescent="0.3">
      <c r="A42" s="1">
        <v>35916</v>
      </c>
      <c r="B42">
        <v>21.82</v>
      </c>
      <c r="C42">
        <v>22.190000999999999</v>
      </c>
      <c r="D42">
        <v>21.42</v>
      </c>
      <c r="E42">
        <v>21.42</v>
      </c>
      <c r="F42">
        <v>6.6182059999999998</v>
      </c>
      <c r="G42">
        <v>0</v>
      </c>
    </row>
    <row r="43" spans="1:7" x14ac:dyDescent="0.3">
      <c r="A43" s="1">
        <v>35947</v>
      </c>
      <c r="B43">
        <v>21.4</v>
      </c>
      <c r="C43">
        <v>21.85</v>
      </c>
      <c r="D43">
        <v>20.59</v>
      </c>
      <c r="E43">
        <v>21.299999</v>
      </c>
      <c r="F43">
        <v>6.5811289999999998</v>
      </c>
      <c r="G43">
        <v>0</v>
      </c>
    </row>
    <row r="44" spans="1:7" x14ac:dyDescent="0.3">
      <c r="A44" s="1">
        <v>35977</v>
      </c>
      <c r="B44">
        <v>21.540001</v>
      </c>
      <c r="C44">
        <v>21.84</v>
      </c>
      <c r="D44">
        <v>20.559999000000001</v>
      </c>
      <c r="E44">
        <v>20.559999000000001</v>
      </c>
      <c r="F44">
        <v>6.3729050000000003</v>
      </c>
      <c r="G44">
        <v>0</v>
      </c>
    </row>
    <row r="45" spans="1:7" x14ac:dyDescent="0.3">
      <c r="A45" s="1">
        <v>36008</v>
      </c>
      <c r="B45">
        <v>20.34</v>
      </c>
      <c r="C45">
        <v>20.34</v>
      </c>
      <c r="D45">
        <v>16.809999000000001</v>
      </c>
      <c r="E45">
        <v>16.809999000000001</v>
      </c>
      <c r="F45">
        <v>5.2105329999999999</v>
      </c>
      <c r="G45">
        <v>0</v>
      </c>
    </row>
    <row r="46" spans="1:7" x14ac:dyDescent="0.3">
      <c r="A46" s="1">
        <v>36039</v>
      </c>
      <c r="B46">
        <v>17.43</v>
      </c>
      <c r="C46">
        <v>18.600000000000001</v>
      </c>
      <c r="D46">
        <v>17.059999000000001</v>
      </c>
      <c r="E46">
        <v>17.59</v>
      </c>
      <c r="F46">
        <v>5.4523039999999998</v>
      </c>
      <c r="G46">
        <v>0</v>
      </c>
    </row>
    <row r="47" spans="1:7" x14ac:dyDescent="0.3">
      <c r="A47" s="1">
        <v>36069</v>
      </c>
      <c r="B47">
        <v>16.969999000000001</v>
      </c>
      <c r="C47">
        <v>19.030000999999999</v>
      </c>
      <c r="D47">
        <v>16.079999999999998</v>
      </c>
      <c r="E47">
        <v>19.030000999999999</v>
      </c>
      <c r="F47">
        <v>5.9228930000000002</v>
      </c>
      <c r="G47">
        <v>0</v>
      </c>
    </row>
    <row r="48" spans="1:7" x14ac:dyDescent="0.3">
      <c r="A48" s="1">
        <v>36100</v>
      </c>
      <c r="B48">
        <v>19.27</v>
      </c>
      <c r="C48">
        <v>20.620000999999998</v>
      </c>
      <c r="D48">
        <v>19.27</v>
      </c>
      <c r="E48">
        <v>20.209999</v>
      </c>
      <c r="F48">
        <v>6.2901559999999996</v>
      </c>
      <c r="G48">
        <v>0</v>
      </c>
    </row>
    <row r="49" spans="1:7" x14ac:dyDescent="0.3">
      <c r="A49" s="1">
        <v>36130</v>
      </c>
      <c r="B49">
        <v>20.379999000000002</v>
      </c>
      <c r="C49">
        <v>20.379999000000002</v>
      </c>
      <c r="D49">
        <v>19.120000999999998</v>
      </c>
      <c r="E49">
        <v>19.760000000000002</v>
      </c>
      <c r="F49">
        <v>6.1501020000000004</v>
      </c>
      <c r="G49">
        <v>0</v>
      </c>
    </row>
    <row r="50" spans="1:7" x14ac:dyDescent="0.3">
      <c r="A50" s="1">
        <v>36161</v>
      </c>
      <c r="B50">
        <v>19.75</v>
      </c>
      <c r="C50">
        <v>20.969999000000001</v>
      </c>
      <c r="D50">
        <v>19.75</v>
      </c>
      <c r="E50">
        <v>20.139999</v>
      </c>
      <c r="F50">
        <v>6.5181040000000001</v>
      </c>
      <c r="G50">
        <v>0</v>
      </c>
    </row>
    <row r="51" spans="1:7" x14ac:dyDescent="0.3">
      <c r="A51" s="1">
        <v>36192</v>
      </c>
      <c r="B51">
        <v>20.110001</v>
      </c>
      <c r="C51">
        <v>20.110001</v>
      </c>
      <c r="D51">
        <v>19.280000999999999</v>
      </c>
      <c r="E51">
        <v>19.620000999999998</v>
      </c>
      <c r="F51">
        <v>6.3498099999999997</v>
      </c>
      <c r="G51">
        <v>0</v>
      </c>
    </row>
    <row r="52" spans="1:7" x14ac:dyDescent="0.3">
      <c r="A52" s="1">
        <v>36220</v>
      </c>
      <c r="B52">
        <v>19.629999000000002</v>
      </c>
      <c r="C52">
        <v>20.66</v>
      </c>
      <c r="D52">
        <v>19.610001</v>
      </c>
      <c r="E52">
        <v>20.200001</v>
      </c>
      <c r="F52">
        <v>6.5375240000000003</v>
      </c>
      <c r="G52">
        <v>0</v>
      </c>
    </row>
    <row r="53" spans="1:7" x14ac:dyDescent="0.3">
      <c r="A53" s="1">
        <v>36251</v>
      </c>
      <c r="B53">
        <v>20.200001</v>
      </c>
      <c r="C53">
        <v>22.629999000000002</v>
      </c>
      <c r="D53">
        <v>20.200001</v>
      </c>
      <c r="E53">
        <v>22.35</v>
      </c>
      <c r="F53">
        <v>7.252872</v>
      </c>
      <c r="G53">
        <v>0</v>
      </c>
    </row>
    <row r="54" spans="1:7" x14ac:dyDescent="0.3">
      <c r="A54" s="1">
        <v>36281</v>
      </c>
      <c r="B54">
        <v>23.040001</v>
      </c>
      <c r="C54">
        <v>23.26</v>
      </c>
      <c r="D54">
        <v>22.200001</v>
      </c>
      <c r="E54">
        <v>22.32</v>
      </c>
      <c r="F54">
        <v>7.2431340000000004</v>
      </c>
      <c r="G54">
        <v>0</v>
      </c>
    </row>
    <row r="55" spans="1:7" x14ac:dyDescent="0.3">
      <c r="A55" s="1">
        <v>36312</v>
      </c>
      <c r="B55">
        <v>22.49</v>
      </c>
      <c r="C55">
        <v>22.83</v>
      </c>
      <c r="D55">
        <v>22.120000999999998</v>
      </c>
      <c r="E55">
        <v>22.59</v>
      </c>
      <c r="F55">
        <v>7.330756</v>
      </c>
      <c r="G55">
        <v>0</v>
      </c>
    </row>
    <row r="56" spans="1:7" x14ac:dyDescent="0.3">
      <c r="A56" s="1">
        <v>36342</v>
      </c>
      <c r="B56">
        <v>22.790001</v>
      </c>
      <c r="C56">
        <v>22.93</v>
      </c>
      <c r="D56">
        <v>21.65</v>
      </c>
      <c r="E56">
        <v>21.65</v>
      </c>
      <c r="F56">
        <v>7.0584829999999998</v>
      </c>
      <c r="G56">
        <v>0</v>
      </c>
    </row>
    <row r="57" spans="1:7" x14ac:dyDescent="0.3">
      <c r="A57" s="1">
        <v>36373</v>
      </c>
      <c r="B57">
        <v>21.77</v>
      </c>
      <c r="C57">
        <v>21.870000999999998</v>
      </c>
      <c r="D57">
        <v>20.870000999999998</v>
      </c>
      <c r="E57">
        <v>20.870000999999998</v>
      </c>
      <c r="F57">
        <v>6.8041859999999996</v>
      </c>
      <c r="G57">
        <v>0</v>
      </c>
    </row>
    <row r="58" spans="1:7" x14ac:dyDescent="0.3">
      <c r="A58" s="1">
        <v>36404</v>
      </c>
      <c r="B58">
        <v>21.059999000000001</v>
      </c>
      <c r="C58">
        <v>21.24</v>
      </c>
      <c r="D58">
        <v>19.629999000000002</v>
      </c>
      <c r="E58">
        <v>19.670000000000002</v>
      </c>
      <c r="F58">
        <v>6.4129519999999998</v>
      </c>
      <c r="G58">
        <v>0</v>
      </c>
    </row>
    <row r="59" spans="1:7" x14ac:dyDescent="0.3">
      <c r="A59" s="1">
        <v>36434</v>
      </c>
      <c r="B59">
        <v>19.549999</v>
      </c>
      <c r="C59">
        <v>20.420000000000002</v>
      </c>
      <c r="D59">
        <v>19.07</v>
      </c>
      <c r="E59">
        <v>20.420000000000002</v>
      </c>
      <c r="F59">
        <v>6.683014</v>
      </c>
      <c r="G59">
        <v>0</v>
      </c>
    </row>
    <row r="60" spans="1:7" x14ac:dyDescent="0.3">
      <c r="A60" s="1">
        <v>36465</v>
      </c>
      <c r="B60">
        <v>20.299999</v>
      </c>
      <c r="C60">
        <v>20.99</v>
      </c>
      <c r="D60">
        <v>20.030000999999999</v>
      </c>
      <c r="E60">
        <v>20.100000000000001</v>
      </c>
      <c r="F60">
        <v>6.5782879999999997</v>
      </c>
      <c r="G60">
        <v>0</v>
      </c>
    </row>
    <row r="61" spans="1:7" x14ac:dyDescent="0.3">
      <c r="A61" s="1">
        <v>36495</v>
      </c>
      <c r="B61">
        <v>20.110001</v>
      </c>
      <c r="C61">
        <v>20.469999000000001</v>
      </c>
      <c r="D61">
        <v>17.629999000000002</v>
      </c>
      <c r="E61">
        <v>18.450001</v>
      </c>
      <c r="F61">
        <v>6.0382790000000002</v>
      </c>
      <c r="G61">
        <v>0</v>
      </c>
    </row>
    <row r="62" spans="1:7" x14ac:dyDescent="0.3">
      <c r="A62" s="1">
        <v>36526</v>
      </c>
      <c r="B62">
        <v>18.110001</v>
      </c>
      <c r="C62">
        <v>18.52</v>
      </c>
      <c r="D62">
        <v>17.040001</v>
      </c>
      <c r="E62">
        <v>17.149999999999999</v>
      </c>
      <c r="F62">
        <v>6.221508</v>
      </c>
      <c r="G62">
        <v>0</v>
      </c>
    </row>
    <row r="63" spans="1:7" x14ac:dyDescent="0.3">
      <c r="A63" s="1">
        <v>36557</v>
      </c>
      <c r="B63">
        <v>17.280000999999999</v>
      </c>
      <c r="C63">
        <v>17.280000999999999</v>
      </c>
      <c r="D63">
        <v>15.56</v>
      </c>
      <c r="E63">
        <v>15.61</v>
      </c>
      <c r="F63">
        <v>5.6628400000000001</v>
      </c>
      <c r="G63">
        <v>0</v>
      </c>
    </row>
    <row r="64" spans="1:7" x14ac:dyDescent="0.3">
      <c r="A64" s="1">
        <v>36586</v>
      </c>
      <c r="B64">
        <v>15.77</v>
      </c>
      <c r="C64">
        <v>17.75</v>
      </c>
      <c r="D64">
        <v>15.49</v>
      </c>
      <c r="E64">
        <v>17.75</v>
      </c>
      <c r="F64">
        <v>6.439165</v>
      </c>
      <c r="G64">
        <v>0</v>
      </c>
    </row>
    <row r="65" spans="1:7" x14ac:dyDescent="0.3">
      <c r="A65" s="1">
        <v>36617</v>
      </c>
      <c r="B65">
        <v>17.850000000000001</v>
      </c>
      <c r="C65">
        <v>18.41</v>
      </c>
      <c r="D65">
        <v>17.219999000000001</v>
      </c>
      <c r="E65">
        <v>18.280000999999999</v>
      </c>
      <c r="F65">
        <v>6.6567910000000001</v>
      </c>
      <c r="G65">
        <v>0</v>
      </c>
    </row>
    <row r="66" spans="1:7" x14ac:dyDescent="0.3">
      <c r="A66" s="1">
        <v>36647</v>
      </c>
      <c r="B66">
        <v>18.48</v>
      </c>
      <c r="C66">
        <v>18.989999999999998</v>
      </c>
      <c r="D66">
        <v>17.93</v>
      </c>
      <c r="E66">
        <v>18.239999999999998</v>
      </c>
      <c r="F66">
        <v>6.6422239999999997</v>
      </c>
      <c r="G66">
        <v>0</v>
      </c>
    </row>
    <row r="67" spans="1:7" x14ac:dyDescent="0.3">
      <c r="A67" s="1">
        <v>36678</v>
      </c>
      <c r="B67">
        <v>18.530000999999999</v>
      </c>
      <c r="C67">
        <v>18.68</v>
      </c>
      <c r="D67">
        <v>16.889999</v>
      </c>
      <c r="E67">
        <v>16.889999</v>
      </c>
      <c r="F67">
        <v>6.1506129999999999</v>
      </c>
      <c r="G67">
        <v>0</v>
      </c>
    </row>
    <row r="68" spans="1:7" x14ac:dyDescent="0.3">
      <c r="A68" s="1">
        <v>36708</v>
      </c>
      <c r="B68">
        <v>17.309999000000001</v>
      </c>
      <c r="C68">
        <v>18.170000000000002</v>
      </c>
      <c r="D68">
        <v>17.309999000000001</v>
      </c>
      <c r="E68">
        <v>17.629999000000002</v>
      </c>
      <c r="F68">
        <v>6.4505720000000002</v>
      </c>
      <c r="G68">
        <v>0</v>
      </c>
    </row>
    <row r="69" spans="1:7" x14ac:dyDescent="0.3">
      <c r="A69" s="1">
        <v>36739</v>
      </c>
      <c r="B69">
        <v>17.899999999999999</v>
      </c>
      <c r="C69">
        <v>18.850000000000001</v>
      </c>
      <c r="D69">
        <v>17.879999000000002</v>
      </c>
      <c r="E69">
        <v>18.66</v>
      </c>
      <c r="F69">
        <v>6.8274350000000004</v>
      </c>
      <c r="G69">
        <v>0</v>
      </c>
    </row>
    <row r="70" spans="1:7" x14ac:dyDescent="0.3">
      <c r="A70" s="1">
        <v>36770</v>
      </c>
      <c r="B70">
        <v>18.75</v>
      </c>
      <c r="C70">
        <v>19.120000999999998</v>
      </c>
      <c r="D70">
        <v>17.989999999999998</v>
      </c>
      <c r="E70">
        <v>18.260000000000002</v>
      </c>
      <c r="F70">
        <v>6.6810809999999998</v>
      </c>
      <c r="G70">
        <v>0</v>
      </c>
    </row>
    <row r="71" spans="1:7" x14ac:dyDescent="0.3">
      <c r="A71" s="1">
        <v>36800</v>
      </c>
      <c r="B71">
        <v>18.280000999999999</v>
      </c>
      <c r="C71">
        <v>18.98</v>
      </c>
      <c r="D71">
        <v>17.139999</v>
      </c>
      <c r="E71">
        <v>18.98</v>
      </c>
      <c r="F71">
        <v>6.9819019999999998</v>
      </c>
      <c r="G71">
        <v>0</v>
      </c>
    </row>
    <row r="72" spans="1:7" x14ac:dyDescent="0.3">
      <c r="A72" s="1">
        <v>36831</v>
      </c>
      <c r="B72">
        <v>18.989999999999998</v>
      </c>
      <c r="C72">
        <v>19.079999999999998</v>
      </c>
      <c r="D72">
        <v>18.23</v>
      </c>
      <c r="E72">
        <v>18.360001</v>
      </c>
      <c r="F72">
        <v>6.7538299999999998</v>
      </c>
      <c r="G72">
        <v>0</v>
      </c>
    </row>
    <row r="73" spans="1:7" x14ac:dyDescent="0.3">
      <c r="A73" s="1">
        <v>36861</v>
      </c>
      <c r="B73">
        <v>18.540001</v>
      </c>
      <c r="C73">
        <v>19.18</v>
      </c>
      <c r="D73">
        <v>15.67</v>
      </c>
      <c r="E73">
        <v>16.889999</v>
      </c>
      <c r="F73">
        <v>6.2130809999999999</v>
      </c>
      <c r="G73">
        <v>0</v>
      </c>
    </row>
    <row r="74" spans="1:7" x14ac:dyDescent="0.3">
      <c r="A74" s="1">
        <v>36892</v>
      </c>
      <c r="B74">
        <v>16.59</v>
      </c>
      <c r="C74">
        <v>17.719999000000001</v>
      </c>
      <c r="D74">
        <v>16.59</v>
      </c>
      <c r="E74">
        <v>17.719999000000001</v>
      </c>
      <c r="F74">
        <v>7.7644950000000001</v>
      </c>
      <c r="G74">
        <v>0</v>
      </c>
    </row>
    <row r="75" spans="1:7" x14ac:dyDescent="0.3">
      <c r="A75" s="1">
        <v>36923</v>
      </c>
      <c r="B75">
        <v>17.84</v>
      </c>
      <c r="C75">
        <v>17.940000999999999</v>
      </c>
      <c r="D75">
        <v>17.309999000000001</v>
      </c>
      <c r="E75">
        <v>17.709999</v>
      </c>
      <c r="F75">
        <v>7.7601209999999998</v>
      </c>
      <c r="G75">
        <v>0</v>
      </c>
    </row>
    <row r="76" spans="1:7" x14ac:dyDescent="0.3">
      <c r="A76" s="1">
        <v>36951</v>
      </c>
      <c r="B76">
        <v>17.59</v>
      </c>
      <c r="C76">
        <v>18.290001</v>
      </c>
      <c r="D76">
        <v>16.469999000000001</v>
      </c>
      <c r="E76">
        <v>17.120000999999998</v>
      </c>
      <c r="F76">
        <v>7.5015919999999996</v>
      </c>
      <c r="G76">
        <v>0</v>
      </c>
    </row>
    <row r="77" spans="1:7" x14ac:dyDescent="0.3">
      <c r="A77" s="1">
        <v>36982</v>
      </c>
      <c r="B77">
        <v>17.049999</v>
      </c>
      <c r="C77">
        <v>18.190000999999999</v>
      </c>
      <c r="D77">
        <v>16.600000000000001</v>
      </c>
      <c r="E77">
        <v>18.139999</v>
      </c>
      <c r="F77">
        <v>7.9682789999999999</v>
      </c>
      <c r="G77">
        <v>0</v>
      </c>
    </row>
    <row r="78" spans="1:7" x14ac:dyDescent="0.3">
      <c r="A78" s="1">
        <v>37012</v>
      </c>
      <c r="B78">
        <v>18.18</v>
      </c>
      <c r="C78">
        <v>19.200001</v>
      </c>
      <c r="D78">
        <v>17.98</v>
      </c>
      <c r="E78">
        <v>18.66</v>
      </c>
      <c r="F78">
        <v>8.1966970000000003</v>
      </c>
      <c r="G78">
        <v>0</v>
      </c>
    </row>
    <row r="79" spans="1:7" x14ac:dyDescent="0.3">
      <c r="A79" s="1">
        <v>37043</v>
      </c>
      <c r="B79">
        <v>18.690000999999999</v>
      </c>
      <c r="C79">
        <v>18.950001</v>
      </c>
      <c r="D79">
        <v>17.98</v>
      </c>
      <c r="E79">
        <v>18.23</v>
      </c>
      <c r="F79">
        <v>8.0078150000000008</v>
      </c>
      <c r="G79">
        <v>0</v>
      </c>
    </row>
    <row r="80" spans="1:7" x14ac:dyDescent="0.3">
      <c r="A80" s="1">
        <v>37073</v>
      </c>
      <c r="B80">
        <v>18.459999</v>
      </c>
      <c r="C80">
        <v>18.559999000000001</v>
      </c>
      <c r="D80">
        <v>17.670000000000002</v>
      </c>
      <c r="E80">
        <v>18.34</v>
      </c>
      <c r="F80">
        <v>8.0867400000000007</v>
      </c>
      <c r="G80">
        <v>0</v>
      </c>
    </row>
    <row r="81" spans="1:7" x14ac:dyDescent="0.3">
      <c r="A81" s="1">
        <v>37104</v>
      </c>
      <c r="B81">
        <v>18.299999</v>
      </c>
      <c r="C81">
        <v>18.299999</v>
      </c>
      <c r="D81">
        <v>17.41</v>
      </c>
      <c r="E81">
        <v>17.530000999999999</v>
      </c>
      <c r="F81">
        <v>7.7295800000000003</v>
      </c>
      <c r="G81">
        <v>0</v>
      </c>
    </row>
    <row r="82" spans="1:7" x14ac:dyDescent="0.3">
      <c r="A82" s="1">
        <v>37135</v>
      </c>
      <c r="B82">
        <v>17.68</v>
      </c>
      <c r="C82">
        <v>17.68</v>
      </c>
      <c r="D82">
        <v>14.36</v>
      </c>
      <c r="E82">
        <v>15.52</v>
      </c>
      <c r="F82">
        <v>6.8433060000000001</v>
      </c>
      <c r="G82">
        <v>0</v>
      </c>
    </row>
    <row r="83" spans="1:7" x14ac:dyDescent="0.3">
      <c r="A83" s="1">
        <v>37165</v>
      </c>
      <c r="B83">
        <v>15.33</v>
      </c>
      <c r="C83">
        <v>16.25</v>
      </c>
      <c r="D83">
        <v>15.33</v>
      </c>
      <c r="E83">
        <v>15.51</v>
      </c>
      <c r="F83">
        <v>6.8637699999999997</v>
      </c>
      <c r="G83">
        <v>0</v>
      </c>
    </row>
    <row r="84" spans="1:7" x14ac:dyDescent="0.3">
      <c r="A84" s="1">
        <v>37196</v>
      </c>
      <c r="B84">
        <v>15.82</v>
      </c>
      <c r="C84">
        <v>17.040001</v>
      </c>
      <c r="D84">
        <v>15.82</v>
      </c>
      <c r="E84">
        <v>16.969999000000001</v>
      </c>
      <c r="F84">
        <v>7.5098789999999997</v>
      </c>
      <c r="G84">
        <v>0</v>
      </c>
    </row>
    <row r="85" spans="1:7" x14ac:dyDescent="0.3">
      <c r="A85" s="1">
        <v>37226</v>
      </c>
      <c r="B85">
        <v>16.799999</v>
      </c>
      <c r="C85">
        <v>17.309999000000001</v>
      </c>
      <c r="D85">
        <v>14.91</v>
      </c>
      <c r="E85">
        <v>15.41</v>
      </c>
      <c r="F85">
        <v>6.8195189999999997</v>
      </c>
      <c r="G85">
        <v>0</v>
      </c>
    </row>
    <row r="86" spans="1:7" x14ac:dyDescent="0.3">
      <c r="A86" s="1">
        <v>37257</v>
      </c>
      <c r="B86">
        <v>15.36</v>
      </c>
      <c r="C86">
        <v>15.74</v>
      </c>
      <c r="D86">
        <v>15.05</v>
      </c>
      <c r="E86">
        <v>15.57</v>
      </c>
      <c r="F86">
        <v>7.7694369999999999</v>
      </c>
      <c r="G86">
        <v>0</v>
      </c>
    </row>
    <row r="87" spans="1:7" x14ac:dyDescent="0.3">
      <c r="A87" s="1">
        <v>37288</v>
      </c>
      <c r="B87">
        <v>15.48</v>
      </c>
      <c r="C87">
        <v>15.8</v>
      </c>
      <c r="D87">
        <v>14.93</v>
      </c>
      <c r="E87">
        <v>15.77</v>
      </c>
      <c r="F87">
        <v>7.8692380000000002</v>
      </c>
      <c r="G87">
        <v>0</v>
      </c>
    </row>
    <row r="88" spans="1:7" x14ac:dyDescent="0.3">
      <c r="A88" s="1">
        <v>37316</v>
      </c>
      <c r="B88">
        <v>16.030000999999999</v>
      </c>
      <c r="C88">
        <v>16.579999999999998</v>
      </c>
      <c r="D88">
        <v>15.97</v>
      </c>
      <c r="E88">
        <v>16.399999999999999</v>
      </c>
      <c r="F88">
        <v>8.1836059999999993</v>
      </c>
      <c r="G88">
        <v>0</v>
      </c>
    </row>
    <row r="89" spans="1:7" x14ac:dyDescent="0.3">
      <c r="A89" s="1">
        <v>37347</v>
      </c>
      <c r="B89">
        <v>16.27</v>
      </c>
      <c r="C89">
        <v>16.629999000000002</v>
      </c>
      <c r="D89">
        <v>15.97</v>
      </c>
      <c r="E89">
        <v>16.25</v>
      </c>
      <c r="F89">
        <v>8.1215469999999996</v>
      </c>
      <c r="G89">
        <v>0</v>
      </c>
    </row>
    <row r="90" spans="1:7" x14ac:dyDescent="0.3">
      <c r="A90" s="1">
        <v>37377</v>
      </c>
      <c r="B90">
        <v>16.420000000000002</v>
      </c>
      <c r="C90">
        <v>16.600000000000001</v>
      </c>
      <c r="D90">
        <v>16.139999</v>
      </c>
      <c r="E90">
        <v>16.350000000000001</v>
      </c>
      <c r="F90">
        <v>8.1715230000000005</v>
      </c>
      <c r="G90">
        <v>0</v>
      </c>
    </row>
    <row r="91" spans="1:7" x14ac:dyDescent="0.3">
      <c r="A91" s="1">
        <v>37408</v>
      </c>
      <c r="B91">
        <v>16.040001</v>
      </c>
      <c r="C91">
        <v>16.040001</v>
      </c>
      <c r="D91">
        <v>14.95</v>
      </c>
      <c r="E91">
        <v>15.31</v>
      </c>
      <c r="F91">
        <v>7.6517489999999997</v>
      </c>
      <c r="G91">
        <v>0</v>
      </c>
    </row>
    <row r="92" spans="1:7" x14ac:dyDescent="0.3">
      <c r="A92" s="1">
        <v>37438</v>
      </c>
      <c r="B92">
        <v>15</v>
      </c>
      <c r="C92">
        <v>15.02</v>
      </c>
      <c r="D92">
        <v>12.26</v>
      </c>
      <c r="E92">
        <v>13.61</v>
      </c>
      <c r="F92">
        <v>6.8222849999999999</v>
      </c>
      <c r="G92">
        <v>0</v>
      </c>
    </row>
    <row r="93" spans="1:7" x14ac:dyDescent="0.3">
      <c r="A93" s="1">
        <v>37469</v>
      </c>
      <c r="B93">
        <v>13.4</v>
      </c>
      <c r="C93">
        <v>14.35</v>
      </c>
      <c r="D93">
        <v>12.53</v>
      </c>
      <c r="E93">
        <v>13.83</v>
      </c>
      <c r="F93">
        <v>6.9325669999999997</v>
      </c>
      <c r="G93">
        <v>0</v>
      </c>
    </row>
    <row r="94" spans="1:7" x14ac:dyDescent="0.3">
      <c r="A94" s="1">
        <v>37500</v>
      </c>
      <c r="B94">
        <v>13.38</v>
      </c>
      <c r="C94">
        <v>13.74</v>
      </c>
      <c r="D94">
        <v>12.25</v>
      </c>
      <c r="E94">
        <v>12.25</v>
      </c>
      <c r="F94">
        <v>6.1405620000000001</v>
      </c>
      <c r="G94">
        <v>0</v>
      </c>
    </row>
    <row r="95" spans="1:7" x14ac:dyDescent="0.3">
      <c r="A95" s="1">
        <v>37530</v>
      </c>
      <c r="B95">
        <v>12.62</v>
      </c>
      <c r="C95">
        <v>12.99</v>
      </c>
      <c r="D95">
        <v>11.12</v>
      </c>
      <c r="E95">
        <v>12.73</v>
      </c>
      <c r="F95">
        <v>6.4022129999999997</v>
      </c>
      <c r="G95">
        <v>0</v>
      </c>
    </row>
    <row r="96" spans="1:7" x14ac:dyDescent="0.3">
      <c r="A96" s="1">
        <v>37561</v>
      </c>
      <c r="B96">
        <v>12.96</v>
      </c>
      <c r="C96">
        <v>13.6</v>
      </c>
      <c r="D96">
        <v>12.53</v>
      </c>
      <c r="E96">
        <v>13.6</v>
      </c>
      <c r="F96">
        <v>6.839753</v>
      </c>
      <c r="G96">
        <v>0</v>
      </c>
    </row>
    <row r="97" spans="1:7" x14ac:dyDescent="0.3">
      <c r="A97" s="1">
        <v>37591</v>
      </c>
      <c r="B97">
        <v>13.63</v>
      </c>
      <c r="C97">
        <v>13.63</v>
      </c>
      <c r="D97">
        <v>12.82</v>
      </c>
      <c r="E97">
        <v>12.94</v>
      </c>
      <c r="F97">
        <v>6.5078269999999998</v>
      </c>
      <c r="G97">
        <v>0</v>
      </c>
    </row>
    <row r="98" spans="1:7" x14ac:dyDescent="0.3">
      <c r="A98" s="1">
        <v>37622</v>
      </c>
      <c r="B98">
        <v>13.38</v>
      </c>
      <c r="C98">
        <v>13.79</v>
      </c>
      <c r="D98">
        <v>12.46</v>
      </c>
      <c r="E98">
        <v>12.64</v>
      </c>
      <c r="F98">
        <v>6.391883</v>
      </c>
      <c r="G98">
        <v>0</v>
      </c>
    </row>
    <row r="99" spans="1:7" x14ac:dyDescent="0.3">
      <c r="A99" s="1">
        <v>37653</v>
      </c>
      <c r="B99">
        <v>12.65</v>
      </c>
      <c r="C99">
        <v>12.65</v>
      </c>
      <c r="D99">
        <v>11.94</v>
      </c>
      <c r="E99">
        <v>12.27</v>
      </c>
      <c r="F99">
        <v>6.2047829999999999</v>
      </c>
      <c r="G99">
        <v>0</v>
      </c>
    </row>
    <row r="100" spans="1:7" x14ac:dyDescent="0.3">
      <c r="A100" s="1">
        <v>37681</v>
      </c>
      <c r="B100">
        <v>12.21</v>
      </c>
      <c r="C100">
        <v>12.83</v>
      </c>
      <c r="D100">
        <v>11.43</v>
      </c>
      <c r="E100">
        <v>12.18</v>
      </c>
      <c r="F100">
        <v>6.1592710000000004</v>
      </c>
      <c r="G100">
        <v>0</v>
      </c>
    </row>
    <row r="101" spans="1:7" x14ac:dyDescent="0.3">
      <c r="A101" s="1">
        <v>37712</v>
      </c>
      <c r="B101">
        <v>12.3</v>
      </c>
      <c r="C101">
        <v>13.39</v>
      </c>
      <c r="D101">
        <v>12.3</v>
      </c>
      <c r="E101">
        <v>13.3</v>
      </c>
      <c r="F101">
        <v>6.7430729999999999</v>
      </c>
      <c r="G101">
        <v>0</v>
      </c>
    </row>
    <row r="102" spans="1:7" x14ac:dyDescent="0.3">
      <c r="A102" s="1">
        <v>37742</v>
      </c>
      <c r="B102">
        <v>13.26</v>
      </c>
      <c r="C102">
        <v>14.19</v>
      </c>
      <c r="D102">
        <v>13.26</v>
      </c>
      <c r="E102">
        <v>14.19</v>
      </c>
      <c r="F102">
        <v>7.1943020000000004</v>
      </c>
      <c r="G102">
        <v>0</v>
      </c>
    </row>
    <row r="103" spans="1:7" x14ac:dyDescent="0.3">
      <c r="A103" s="1">
        <v>37773</v>
      </c>
      <c r="B103">
        <v>14.35</v>
      </c>
      <c r="C103">
        <v>14.88</v>
      </c>
      <c r="D103">
        <v>14.27</v>
      </c>
      <c r="E103">
        <v>14.3</v>
      </c>
      <c r="F103">
        <v>7.2500710000000002</v>
      </c>
      <c r="G103">
        <v>0</v>
      </c>
    </row>
    <row r="104" spans="1:7" x14ac:dyDescent="0.3">
      <c r="A104" s="1">
        <v>37803</v>
      </c>
      <c r="B104">
        <v>14.4</v>
      </c>
      <c r="C104">
        <v>14.83</v>
      </c>
      <c r="D104">
        <v>14.4</v>
      </c>
      <c r="E104">
        <v>14.66</v>
      </c>
      <c r="F104">
        <v>7.4549469999999998</v>
      </c>
      <c r="G104">
        <v>0</v>
      </c>
    </row>
    <row r="105" spans="1:7" x14ac:dyDescent="0.3">
      <c r="A105" s="1">
        <v>37834</v>
      </c>
      <c r="B105">
        <v>14.54</v>
      </c>
      <c r="C105">
        <v>15.18</v>
      </c>
      <c r="D105">
        <v>14.26</v>
      </c>
      <c r="E105">
        <v>15.18</v>
      </c>
      <c r="F105">
        <v>7.719379</v>
      </c>
      <c r="G105">
        <v>0</v>
      </c>
    </row>
    <row r="106" spans="1:7" x14ac:dyDescent="0.3">
      <c r="A106" s="1">
        <v>37865</v>
      </c>
      <c r="B106">
        <v>15.38</v>
      </c>
      <c r="C106">
        <v>15.47</v>
      </c>
      <c r="D106">
        <v>14.77</v>
      </c>
      <c r="E106">
        <v>14.8</v>
      </c>
      <c r="F106">
        <v>7.5261380000000004</v>
      </c>
      <c r="G106">
        <v>0</v>
      </c>
    </row>
    <row r="107" spans="1:7" x14ac:dyDescent="0.3">
      <c r="A107" s="1">
        <v>37895</v>
      </c>
      <c r="B107">
        <v>15.08</v>
      </c>
      <c r="C107">
        <v>15.79</v>
      </c>
      <c r="D107">
        <v>15.08</v>
      </c>
      <c r="E107">
        <v>15.79</v>
      </c>
      <c r="F107">
        <v>8.0545670000000005</v>
      </c>
      <c r="G107">
        <v>0</v>
      </c>
    </row>
    <row r="108" spans="1:7" x14ac:dyDescent="0.3">
      <c r="A108" s="1">
        <v>37926</v>
      </c>
      <c r="B108">
        <v>15.93</v>
      </c>
      <c r="C108">
        <v>16.139999</v>
      </c>
      <c r="D108">
        <v>15.57</v>
      </c>
      <c r="E108">
        <v>16.139999</v>
      </c>
      <c r="F108">
        <v>8.2331029999999998</v>
      </c>
      <c r="G108">
        <v>0</v>
      </c>
    </row>
    <row r="109" spans="1:7" x14ac:dyDescent="0.3">
      <c r="A109" s="1">
        <v>37956</v>
      </c>
      <c r="B109">
        <v>16.329999999999998</v>
      </c>
      <c r="C109">
        <v>17.16</v>
      </c>
      <c r="D109">
        <v>16.200001</v>
      </c>
      <c r="E109">
        <v>17.16</v>
      </c>
      <c r="F109">
        <v>8.7534159999999996</v>
      </c>
      <c r="G109">
        <v>0</v>
      </c>
    </row>
    <row r="110" spans="1:7" x14ac:dyDescent="0.3">
      <c r="A110" s="1">
        <v>37987</v>
      </c>
      <c r="B110">
        <v>17.139999</v>
      </c>
      <c r="C110">
        <v>18.010000000000002</v>
      </c>
      <c r="D110">
        <v>17.139999</v>
      </c>
      <c r="E110">
        <v>17.450001</v>
      </c>
      <c r="F110">
        <v>8.9443940000000008</v>
      </c>
      <c r="G110">
        <v>0</v>
      </c>
    </row>
    <row r="111" spans="1:7" x14ac:dyDescent="0.3">
      <c r="A111" s="1">
        <v>38018</v>
      </c>
      <c r="B111">
        <v>17.48</v>
      </c>
      <c r="C111">
        <v>18.010000000000002</v>
      </c>
      <c r="D111">
        <v>17.260000000000002</v>
      </c>
      <c r="E111">
        <v>17.899999999999999</v>
      </c>
      <c r="F111">
        <v>9.175046</v>
      </c>
      <c r="G111">
        <v>0</v>
      </c>
    </row>
    <row r="112" spans="1:7" x14ac:dyDescent="0.3">
      <c r="A112" s="1">
        <v>38047</v>
      </c>
      <c r="B112">
        <v>18.100000000000001</v>
      </c>
      <c r="C112">
        <v>18.190000999999999</v>
      </c>
      <c r="D112">
        <v>17.110001</v>
      </c>
      <c r="E112">
        <v>17.799999</v>
      </c>
      <c r="F112">
        <v>9.1237910000000007</v>
      </c>
      <c r="G112">
        <v>0</v>
      </c>
    </row>
    <row r="113" spans="1:7" x14ac:dyDescent="0.3">
      <c r="A113" s="1">
        <v>38078</v>
      </c>
      <c r="B113">
        <v>17.879999000000002</v>
      </c>
      <c r="C113">
        <v>18.129999000000002</v>
      </c>
      <c r="D113">
        <v>17.5</v>
      </c>
      <c r="E113">
        <v>17.5</v>
      </c>
      <c r="F113">
        <v>8.9839500000000001</v>
      </c>
      <c r="G113">
        <v>0</v>
      </c>
    </row>
    <row r="114" spans="1:7" x14ac:dyDescent="0.3">
      <c r="A114" s="1">
        <v>38108</v>
      </c>
      <c r="B114">
        <v>17.620000999999998</v>
      </c>
      <c r="C114">
        <v>17.629999000000002</v>
      </c>
      <c r="D114">
        <v>16.829999999999998</v>
      </c>
      <c r="E114">
        <v>17.600000000000001</v>
      </c>
      <c r="F114">
        <v>9.035285</v>
      </c>
      <c r="G114">
        <v>0</v>
      </c>
    </row>
    <row r="115" spans="1:7" x14ac:dyDescent="0.3">
      <c r="A115" s="1">
        <v>38139</v>
      </c>
      <c r="B115">
        <v>17.600000000000001</v>
      </c>
      <c r="C115">
        <v>18.07</v>
      </c>
      <c r="D115">
        <v>17.540001</v>
      </c>
      <c r="E115">
        <v>18.07</v>
      </c>
      <c r="F115">
        <v>9.276567</v>
      </c>
      <c r="G115">
        <v>0</v>
      </c>
    </row>
    <row r="116" spans="1:7" x14ac:dyDescent="0.3">
      <c r="A116" s="1">
        <v>38169</v>
      </c>
      <c r="B116">
        <v>17.899999999999999</v>
      </c>
      <c r="C116">
        <v>17.899999999999999</v>
      </c>
      <c r="D116">
        <v>17.239999999999998</v>
      </c>
      <c r="E116">
        <v>17.48</v>
      </c>
      <c r="F116">
        <v>9.0012450000000008</v>
      </c>
      <c r="G116">
        <v>0</v>
      </c>
    </row>
    <row r="117" spans="1:7" x14ac:dyDescent="0.3">
      <c r="A117" s="1">
        <v>38200</v>
      </c>
      <c r="B117">
        <v>17.639999</v>
      </c>
      <c r="C117">
        <v>17.639999</v>
      </c>
      <c r="D117">
        <v>16.829999999999998</v>
      </c>
      <c r="E117">
        <v>17.48</v>
      </c>
      <c r="F117">
        <v>9.0012450000000008</v>
      </c>
      <c r="G117">
        <v>0</v>
      </c>
    </row>
    <row r="118" spans="1:7" x14ac:dyDescent="0.3">
      <c r="A118" s="1">
        <v>38231</v>
      </c>
      <c r="B118">
        <v>17.5</v>
      </c>
      <c r="C118">
        <v>17.969999000000001</v>
      </c>
      <c r="D118">
        <v>17.5</v>
      </c>
      <c r="E118">
        <v>17.969999000000001</v>
      </c>
      <c r="F118">
        <v>9.2535690000000006</v>
      </c>
      <c r="G118">
        <v>0</v>
      </c>
    </row>
    <row r="119" spans="1:7" x14ac:dyDescent="0.3">
      <c r="A119" s="1">
        <v>38261</v>
      </c>
      <c r="B119">
        <v>18.219999000000001</v>
      </c>
      <c r="C119">
        <v>18.370000999999998</v>
      </c>
      <c r="D119">
        <v>17.52</v>
      </c>
      <c r="E119">
        <v>18.18</v>
      </c>
      <c r="F119">
        <v>9.3870529999999999</v>
      </c>
      <c r="G119">
        <v>0</v>
      </c>
    </row>
    <row r="120" spans="1:7" x14ac:dyDescent="0.3">
      <c r="A120" s="1">
        <v>38292</v>
      </c>
      <c r="B120">
        <v>18.18</v>
      </c>
      <c r="C120">
        <v>19.459999</v>
      </c>
      <c r="D120">
        <v>18.18</v>
      </c>
      <c r="E120">
        <v>19.370000999999998</v>
      </c>
      <c r="F120">
        <v>10.001497000000001</v>
      </c>
      <c r="G120">
        <v>0</v>
      </c>
    </row>
    <row r="121" spans="1:7" x14ac:dyDescent="0.3">
      <c r="A121" s="1">
        <v>38322</v>
      </c>
      <c r="B121">
        <v>19.639999</v>
      </c>
      <c r="C121">
        <v>20.07</v>
      </c>
      <c r="D121">
        <v>19.360001</v>
      </c>
      <c r="E121">
        <v>20.049999</v>
      </c>
      <c r="F121">
        <v>10.352603</v>
      </c>
      <c r="G121">
        <v>0</v>
      </c>
    </row>
    <row r="122" spans="1:7" x14ac:dyDescent="0.3">
      <c r="A122" s="1">
        <v>38353</v>
      </c>
      <c r="B122">
        <v>19.82</v>
      </c>
      <c r="C122">
        <v>19.82</v>
      </c>
      <c r="D122">
        <v>19.280000999999999</v>
      </c>
      <c r="E122">
        <v>19.549999</v>
      </c>
      <c r="F122">
        <v>10.141087000000001</v>
      </c>
      <c r="G122">
        <v>0</v>
      </c>
    </row>
    <row r="123" spans="1:7" x14ac:dyDescent="0.3">
      <c r="A123" s="1">
        <v>38384</v>
      </c>
      <c r="B123">
        <v>19.700001</v>
      </c>
      <c r="C123">
        <v>20.27</v>
      </c>
      <c r="D123">
        <v>19.700001</v>
      </c>
      <c r="E123">
        <v>20.139999</v>
      </c>
      <c r="F123">
        <v>10.447136</v>
      </c>
      <c r="G123">
        <v>0</v>
      </c>
    </row>
    <row r="124" spans="1:7" x14ac:dyDescent="0.3">
      <c r="A124" s="1">
        <v>38412</v>
      </c>
      <c r="B124">
        <v>20.32</v>
      </c>
      <c r="C124">
        <v>20.629999000000002</v>
      </c>
      <c r="D124">
        <v>19.68</v>
      </c>
      <c r="E124">
        <v>20.059999000000001</v>
      </c>
      <c r="F124">
        <v>10.405642</v>
      </c>
      <c r="G124">
        <v>0</v>
      </c>
    </row>
    <row r="125" spans="1:7" x14ac:dyDescent="0.3">
      <c r="A125" s="1">
        <v>38443</v>
      </c>
      <c r="B125">
        <v>19.989999999999998</v>
      </c>
      <c r="C125">
        <v>20.219999000000001</v>
      </c>
      <c r="D125">
        <v>19.07</v>
      </c>
      <c r="E125">
        <v>19.370000999999998</v>
      </c>
      <c r="F125">
        <v>10.061375999999999</v>
      </c>
      <c r="G125">
        <v>0</v>
      </c>
    </row>
    <row r="126" spans="1:7" x14ac:dyDescent="0.3">
      <c r="A126" s="1">
        <v>38473</v>
      </c>
      <c r="B126">
        <v>19.48</v>
      </c>
      <c r="C126">
        <v>20.260000000000002</v>
      </c>
      <c r="D126">
        <v>19.350000000000001</v>
      </c>
      <c r="E126">
        <v>20.200001</v>
      </c>
      <c r="F126">
        <v>10.492501000000001</v>
      </c>
      <c r="G126">
        <v>0</v>
      </c>
    </row>
    <row r="127" spans="1:7" x14ac:dyDescent="0.3">
      <c r="A127" s="1">
        <v>38504</v>
      </c>
      <c r="B127">
        <v>20.309999000000001</v>
      </c>
      <c r="C127">
        <v>20.870000999999998</v>
      </c>
      <c r="D127">
        <v>20.23</v>
      </c>
      <c r="E127">
        <v>20.559999000000001</v>
      </c>
      <c r="F127">
        <v>10.679498000000001</v>
      </c>
      <c r="G127">
        <v>0</v>
      </c>
    </row>
    <row r="128" spans="1:7" x14ac:dyDescent="0.3">
      <c r="A128" s="1">
        <v>38534</v>
      </c>
      <c r="B128">
        <v>20.690000999999999</v>
      </c>
      <c r="C128">
        <v>21.68</v>
      </c>
      <c r="D128">
        <v>20.690000999999999</v>
      </c>
      <c r="E128">
        <v>21.58</v>
      </c>
      <c r="F128">
        <v>11.237007999999999</v>
      </c>
      <c r="G128">
        <v>0</v>
      </c>
    </row>
    <row r="129" spans="1:7" x14ac:dyDescent="0.3">
      <c r="A129" s="1">
        <v>38565</v>
      </c>
      <c r="B129">
        <v>21.59</v>
      </c>
      <c r="C129">
        <v>21.719999000000001</v>
      </c>
      <c r="D129">
        <v>21.139999</v>
      </c>
      <c r="E129">
        <v>21.4</v>
      </c>
      <c r="F129">
        <v>11.143278</v>
      </c>
      <c r="G129">
        <v>0</v>
      </c>
    </row>
    <row r="130" spans="1:7" x14ac:dyDescent="0.3">
      <c r="A130" s="1">
        <v>38596</v>
      </c>
      <c r="B130">
        <v>21.440000999999999</v>
      </c>
      <c r="C130">
        <v>21.700001</v>
      </c>
      <c r="D130">
        <v>21.200001</v>
      </c>
      <c r="E130">
        <v>21.67</v>
      </c>
      <c r="F130">
        <v>11.28387</v>
      </c>
      <c r="G130">
        <v>0</v>
      </c>
    </row>
    <row r="131" spans="1:7" x14ac:dyDescent="0.3">
      <c r="A131" s="1">
        <v>38626</v>
      </c>
      <c r="B131">
        <v>21.629999000000002</v>
      </c>
      <c r="C131">
        <v>21.629999000000002</v>
      </c>
      <c r="D131">
        <v>20.350000000000001</v>
      </c>
      <c r="E131">
        <v>21.09</v>
      </c>
      <c r="F131">
        <v>11.012323</v>
      </c>
      <c r="G131">
        <v>0</v>
      </c>
    </row>
    <row r="132" spans="1:7" x14ac:dyDescent="0.3">
      <c r="A132" s="1">
        <v>38657</v>
      </c>
      <c r="B132">
        <v>21.120000999999998</v>
      </c>
      <c r="C132">
        <v>22.17</v>
      </c>
      <c r="D132">
        <v>21.120000999999998</v>
      </c>
      <c r="E132">
        <v>21.93</v>
      </c>
      <c r="F132">
        <v>11.450931000000001</v>
      </c>
      <c r="G132">
        <v>0</v>
      </c>
    </row>
    <row r="133" spans="1:7" x14ac:dyDescent="0.3">
      <c r="A133" s="1">
        <v>38687</v>
      </c>
      <c r="B133">
        <v>22.23</v>
      </c>
      <c r="C133">
        <v>22.299999</v>
      </c>
      <c r="D133">
        <v>21.75</v>
      </c>
      <c r="E133">
        <v>21.75</v>
      </c>
      <c r="F133">
        <v>11.356944</v>
      </c>
      <c r="G133">
        <v>0</v>
      </c>
    </row>
    <row r="134" spans="1:7" x14ac:dyDescent="0.3">
      <c r="A134" s="1">
        <v>38718</v>
      </c>
      <c r="B134">
        <v>22.040001</v>
      </c>
      <c r="C134">
        <v>22.879999000000002</v>
      </c>
      <c r="D134">
        <v>22.040001</v>
      </c>
      <c r="E134">
        <v>22.780000999999999</v>
      </c>
      <c r="F134">
        <v>12.007422</v>
      </c>
      <c r="G134">
        <v>0</v>
      </c>
    </row>
    <row r="135" spans="1:7" x14ac:dyDescent="0.3">
      <c r="A135" s="1">
        <v>38749</v>
      </c>
      <c r="B135">
        <v>22.82</v>
      </c>
      <c r="C135">
        <v>22.99</v>
      </c>
      <c r="D135">
        <v>22.440000999999999</v>
      </c>
      <c r="E135">
        <v>22.700001</v>
      </c>
      <c r="F135">
        <v>11.965255000000001</v>
      </c>
      <c r="G135">
        <v>0</v>
      </c>
    </row>
    <row r="136" spans="1:7" x14ac:dyDescent="0.3">
      <c r="A136" s="1">
        <v>38777</v>
      </c>
      <c r="B136">
        <v>22.9</v>
      </c>
      <c r="C136">
        <v>23.17</v>
      </c>
      <c r="D136">
        <v>22.41</v>
      </c>
      <c r="E136">
        <v>23.059999000000001</v>
      </c>
      <c r="F136">
        <v>12.155011</v>
      </c>
      <c r="G136">
        <v>0</v>
      </c>
    </row>
    <row r="137" spans="1:7" x14ac:dyDescent="0.3">
      <c r="A137" s="1">
        <v>38808</v>
      </c>
      <c r="B137">
        <v>23.18</v>
      </c>
      <c r="C137">
        <v>23.709999</v>
      </c>
      <c r="D137">
        <v>23.049999</v>
      </c>
      <c r="E137">
        <v>23.709999</v>
      </c>
      <c r="F137">
        <v>12.518772999999999</v>
      </c>
      <c r="G137">
        <v>0</v>
      </c>
    </row>
    <row r="138" spans="1:7" x14ac:dyDescent="0.3">
      <c r="A138" s="1">
        <v>38838</v>
      </c>
      <c r="B138">
        <v>23.67</v>
      </c>
      <c r="C138">
        <v>24.27</v>
      </c>
      <c r="D138">
        <v>22.940000999999999</v>
      </c>
      <c r="E138">
        <v>23.27</v>
      </c>
      <c r="F138">
        <v>12.286455</v>
      </c>
      <c r="G138">
        <v>0</v>
      </c>
    </row>
    <row r="139" spans="1:7" x14ac:dyDescent="0.3">
      <c r="A139" s="1">
        <v>38869</v>
      </c>
      <c r="B139">
        <v>23.58</v>
      </c>
      <c r="C139">
        <v>23.620000999999998</v>
      </c>
      <c r="D139">
        <v>22.219999000000001</v>
      </c>
      <c r="E139">
        <v>23.379999000000002</v>
      </c>
      <c r="F139">
        <v>12.344538</v>
      </c>
      <c r="G139">
        <v>0</v>
      </c>
    </row>
    <row r="140" spans="1:7" x14ac:dyDescent="0.3">
      <c r="A140" s="1">
        <v>38899</v>
      </c>
      <c r="B140">
        <v>23.540001</v>
      </c>
      <c r="C140">
        <v>23.540001</v>
      </c>
      <c r="D140">
        <v>22.43</v>
      </c>
      <c r="E140">
        <v>23.040001</v>
      </c>
      <c r="F140">
        <v>12.212840999999999</v>
      </c>
      <c r="G140">
        <v>0</v>
      </c>
    </row>
    <row r="141" spans="1:7" x14ac:dyDescent="0.3">
      <c r="A141" s="1">
        <v>38930</v>
      </c>
      <c r="B141">
        <v>22.889999</v>
      </c>
      <c r="C141">
        <v>23.41</v>
      </c>
      <c r="D141">
        <v>22.629999000000002</v>
      </c>
      <c r="E141">
        <v>23.41</v>
      </c>
      <c r="F141">
        <v>12.408973</v>
      </c>
      <c r="G141">
        <v>0</v>
      </c>
    </row>
    <row r="142" spans="1:7" x14ac:dyDescent="0.3">
      <c r="A142" s="1">
        <v>38961</v>
      </c>
      <c r="B142">
        <v>23.540001</v>
      </c>
      <c r="C142">
        <v>24.01</v>
      </c>
      <c r="D142">
        <v>23.290001</v>
      </c>
      <c r="E142">
        <v>23.98</v>
      </c>
      <c r="F142">
        <v>12.711111000000001</v>
      </c>
      <c r="G142">
        <v>0</v>
      </c>
    </row>
    <row r="143" spans="1:7" x14ac:dyDescent="0.3">
      <c r="A143" s="1">
        <v>38991</v>
      </c>
      <c r="B143">
        <v>23.9</v>
      </c>
      <c r="C143">
        <v>25.23</v>
      </c>
      <c r="D143">
        <v>23.9</v>
      </c>
      <c r="E143">
        <v>24.93</v>
      </c>
      <c r="F143">
        <v>13.257358</v>
      </c>
      <c r="G143">
        <v>0</v>
      </c>
    </row>
    <row r="144" spans="1:7" x14ac:dyDescent="0.3">
      <c r="A144" s="1">
        <v>39022</v>
      </c>
      <c r="B144">
        <v>24.77</v>
      </c>
      <c r="C144">
        <v>25.4</v>
      </c>
      <c r="D144">
        <v>24.74</v>
      </c>
      <c r="E144">
        <v>25.4</v>
      </c>
      <c r="F144">
        <v>13.507292</v>
      </c>
      <c r="G144">
        <v>0</v>
      </c>
    </row>
    <row r="145" spans="1:7" x14ac:dyDescent="0.3">
      <c r="A145" s="1">
        <v>39052</v>
      </c>
      <c r="B145">
        <v>25.379999000000002</v>
      </c>
      <c r="C145">
        <v>26.6</v>
      </c>
      <c r="D145">
        <v>25.110001</v>
      </c>
      <c r="E145">
        <v>25.25</v>
      </c>
      <c r="F145">
        <v>13.427526</v>
      </c>
      <c r="G145">
        <v>0</v>
      </c>
    </row>
    <row r="146" spans="1:7" x14ac:dyDescent="0.3">
      <c r="A146" s="1">
        <v>39083</v>
      </c>
      <c r="B146">
        <v>25.219999000000001</v>
      </c>
      <c r="C146">
        <v>25.98</v>
      </c>
      <c r="D146">
        <v>25.030000999999999</v>
      </c>
      <c r="E146">
        <v>25.98</v>
      </c>
      <c r="F146">
        <v>14.175297</v>
      </c>
      <c r="G146">
        <v>0</v>
      </c>
    </row>
    <row r="147" spans="1:7" x14ac:dyDescent="0.3">
      <c r="A147" s="1">
        <v>39114</v>
      </c>
      <c r="B147">
        <v>26.15</v>
      </c>
      <c r="C147">
        <v>26.530000999999999</v>
      </c>
      <c r="D147">
        <v>25.440000999999999</v>
      </c>
      <c r="E147">
        <v>25.59</v>
      </c>
      <c r="F147">
        <v>13.962503</v>
      </c>
      <c r="G147">
        <v>0</v>
      </c>
    </row>
    <row r="148" spans="1:7" x14ac:dyDescent="0.3">
      <c r="A148" s="1">
        <v>39142</v>
      </c>
      <c r="B148">
        <v>25.52</v>
      </c>
      <c r="C148">
        <v>25.99</v>
      </c>
      <c r="D148">
        <v>24.879999000000002</v>
      </c>
      <c r="E148">
        <v>25.709999</v>
      </c>
      <c r="F148">
        <v>14.027979999999999</v>
      </c>
      <c r="G148">
        <v>0</v>
      </c>
    </row>
    <row r="149" spans="1:7" x14ac:dyDescent="0.3">
      <c r="A149" s="1">
        <v>39173</v>
      </c>
      <c r="B149">
        <v>25.77</v>
      </c>
      <c r="C149">
        <v>27.23</v>
      </c>
      <c r="D149">
        <v>25.77</v>
      </c>
      <c r="E149">
        <v>26.799999</v>
      </c>
      <c r="F149">
        <v>14.650007</v>
      </c>
      <c r="G149">
        <v>0</v>
      </c>
    </row>
    <row r="150" spans="1:7" x14ac:dyDescent="0.3">
      <c r="A150" s="1">
        <v>39203</v>
      </c>
      <c r="B150">
        <v>26.799999</v>
      </c>
      <c r="C150">
        <v>27.9</v>
      </c>
      <c r="D150">
        <v>26.799999</v>
      </c>
      <c r="E150">
        <v>27.9</v>
      </c>
      <c r="F150">
        <v>15.251313</v>
      </c>
      <c r="G150">
        <v>0</v>
      </c>
    </row>
    <row r="151" spans="1:7" x14ac:dyDescent="0.3">
      <c r="A151" s="1">
        <v>39234</v>
      </c>
      <c r="B151">
        <v>28.030000999999999</v>
      </c>
      <c r="C151">
        <v>28.15</v>
      </c>
      <c r="D151">
        <v>27.129999000000002</v>
      </c>
      <c r="E151">
        <v>27.370000999999998</v>
      </c>
      <c r="F151">
        <v>14.961596</v>
      </c>
      <c r="G151">
        <v>0</v>
      </c>
    </row>
    <row r="152" spans="1:7" x14ac:dyDescent="0.3">
      <c r="A152" s="1">
        <v>39264</v>
      </c>
      <c r="B152">
        <v>27.709999</v>
      </c>
      <c r="C152">
        <v>27.92</v>
      </c>
      <c r="D152">
        <v>25.67</v>
      </c>
      <c r="E152">
        <v>25.67</v>
      </c>
      <c r="F152">
        <v>14.072124000000001</v>
      </c>
      <c r="G152">
        <v>0</v>
      </c>
    </row>
    <row r="153" spans="1:7" x14ac:dyDescent="0.3">
      <c r="A153" s="1">
        <v>39295</v>
      </c>
      <c r="B153">
        <v>25.73</v>
      </c>
      <c r="C153">
        <v>25.84</v>
      </c>
      <c r="D153">
        <v>24.24</v>
      </c>
      <c r="E153">
        <v>25.18</v>
      </c>
      <c r="F153">
        <v>13.803504999999999</v>
      </c>
      <c r="G153">
        <v>0</v>
      </c>
    </row>
    <row r="154" spans="1:7" x14ac:dyDescent="0.3">
      <c r="A154" s="1">
        <v>39326</v>
      </c>
      <c r="B154">
        <v>25.48</v>
      </c>
      <c r="C154">
        <v>25.93</v>
      </c>
      <c r="D154">
        <v>24.549999</v>
      </c>
      <c r="E154">
        <v>25.75</v>
      </c>
      <c r="F154">
        <v>14.115982000000001</v>
      </c>
      <c r="G154">
        <v>0</v>
      </c>
    </row>
    <row r="155" spans="1:7" x14ac:dyDescent="0.3">
      <c r="A155" s="1">
        <v>39356</v>
      </c>
      <c r="B155">
        <v>26.120000999999998</v>
      </c>
      <c r="C155">
        <v>26.51</v>
      </c>
      <c r="D155">
        <v>25.299999</v>
      </c>
      <c r="E155">
        <v>25.889999</v>
      </c>
      <c r="F155">
        <v>14.237002</v>
      </c>
      <c r="G155">
        <v>0</v>
      </c>
    </row>
    <row r="156" spans="1:7" x14ac:dyDescent="0.3">
      <c r="A156" s="1">
        <v>39387</v>
      </c>
      <c r="B156">
        <v>25.209999</v>
      </c>
      <c r="C156">
        <v>25.299999</v>
      </c>
      <c r="D156">
        <v>23.209999</v>
      </c>
      <c r="E156">
        <v>24.440000999999999</v>
      </c>
      <c r="F156">
        <v>13.439636999999999</v>
      </c>
      <c r="G156">
        <v>0</v>
      </c>
    </row>
    <row r="157" spans="1:7" x14ac:dyDescent="0.3">
      <c r="A157" s="1">
        <v>39417</v>
      </c>
      <c r="B157">
        <v>24.35</v>
      </c>
      <c r="C157">
        <v>25.09</v>
      </c>
      <c r="D157">
        <v>22.870000999999998</v>
      </c>
      <c r="E157">
        <v>23.200001</v>
      </c>
      <c r="F157">
        <v>12.757761</v>
      </c>
      <c r="G157">
        <v>0</v>
      </c>
    </row>
    <row r="158" spans="1:7" x14ac:dyDescent="0.3">
      <c r="A158" s="1">
        <v>39448</v>
      </c>
      <c r="B158">
        <v>22.870000999999998</v>
      </c>
      <c r="C158">
        <v>22.870000999999998</v>
      </c>
      <c r="D158">
        <v>20.57</v>
      </c>
      <c r="E158">
        <v>22.309999000000001</v>
      </c>
      <c r="F158">
        <v>12.88083</v>
      </c>
      <c r="G158">
        <v>0</v>
      </c>
    </row>
    <row r="159" spans="1:7" x14ac:dyDescent="0.3">
      <c r="A159" s="1">
        <v>39479</v>
      </c>
      <c r="B159">
        <v>22.73</v>
      </c>
      <c r="C159">
        <v>22.73</v>
      </c>
      <c r="D159">
        <v>21.469999000000001</v>
      </c>
      <c r="E159">
        <v>21.620000999999998</v>
      </c>
      <c r="F159">
        <v>12.482455</v>
      </c>
      <c r="G159">
        <v>0</v>
      </c>
    </row>
    <row r="160" spans="1:7" x14ac:dyDescent="0.3">
      <c r="A160" s="1">
        <v>39508</v>
      </c>
      <c r="B160">
        <v>21.620000999999998</v>
      </c>
      <c r="C160">
        <v>21.84</v>
      </c>
      <c r="D160">
        <v>20.459999</v>
      </c>
      <c r="E160">
        <v>21.360001</v>
      </c>
      <c r="F160">
        <v>12.332338</v>
      </c>
      <c r="G160">
        <v>0</v>
      </c>
    </row>
    <row r="161" spans="1:7" x14ac:dyDescent="0.3">
      <c r="A161" s="1">
        <v>39539</v>
      </c>
      <c r="B161">
        <v>22.129999000000002</v>
      </c>
      <c r="C161">
        <v>22.790001</v>
      </c>
      <c r="D161">
        <v>21.58</v>
      </c>
      <c r="E161">
        <v>22.700001</v>
      </c>
      <c r="F161">
        <v>13.141041</v>
      </c>
      <c r="G161">
        <v>0</v>
      </c>
    </row>
    <row r="162" spans="1:7" x14ac:dyDescent="0.3">
      <c r="A162" s="1">
        <v>39569</v>
      </c>
      <c r="B162">
        <v>23.190000999999999</v>
      </c>
      <c r="C162">
        <v>23.719999000000001</v>
      </c>
      <c r="D162">
        <v>22.809999000000001</v>
      </c>
      <c r="E162">
        <v>23.24</v>
      </c>
      <c r="F162">
        <v>13.45365</v>
      </c>
      <c r="G162">
        <v>0</v>
      </c>
    </row>
    <row r="163" spans="1:7" x14ac:dyDescent="0.3">
      <c r="A163" s="1">
        <v>39600</v>
      </c>
      <c r="B163">
        <v>23.059999000000001</v>
      </c>
      <c r="C163">
        <v>23.290001</v>
      </c>
      <c r="D163">
        <v>20.6</v>
      </c>
      <c r="E163">
        <v>20.610001</v>
      </c>
      <c r="F163">
        <v>11.931139999999999</v>
      </c>
      <c r="G163">
        <v>0</v>
      </c>
    </row>
    <row r="164" spans="1:7" x14ac:dyDescent="0.3">
      <c r="A164" s="1">
        <v>39630</v>
      </c>
      <c r="B164">
        <v>20.610001</v>
      </c>
      <c r="C164">
        <v>20.610001</v>
      </c>
      <c r="D164">
        <v>18.93</v>
      </c>
      <c r="E164">
        <v>20.379999000000002</v>
      </c>
      <c r="F164">
        <v>11.845272</v>
      </c>
      <c r="G164">
        <v>0</v>
      </c>
    </row>
    <row r="165" spans="1:7" x14ac:dyDescent="0.3">
      <c r="A165" s="1">
        <v>39661</v>
      </c>
      <c r="B165">
        <v>20.299999</v>
      </c>
      <c r="C165">
        <v>20.92</v>
      </c>
      <c r="D165">
        <v>20.02</v>
      </c>
      <c r="E165">
        <v>20.780000999999999</v>
      </c>
      <c r="F165">
        <v>12.077757999999999</v>
      </c>
      <c r="G165">
        <v>0</v>
      </c>
    </row>
    <row r="166" spans="1:7" x14ac:dyDescent="0.3">
      <c r="A166" s="1">
        <v>39692</v>
      </c>
      <c r="B166">
        <v>20.66</v>
      </c>
      <c r="C166">
        <v>20.75</v>
      </c>
      <c r="D166">
        <v>17.700001</v>
      </c>
      <c r="E166">
        <v>18.82</v>
      </c>
      <c r="F166">
        <v>10.938565000000001</v>
      </c>
      <c r="G166">
        <v>0</v>
      </c>
    </row>
    <row r="167" spans="1:7" x14ac:dyDescent="0.3">
      <c r="A167" s="1">
        <v>39722</v>
      </c>
      <c r="B167">
        <v>18.600000000000001</v>
      </c>
      <c r="C167">
        <v>18.600000000000001</v>
      </c>
      <c r="D167">
        <v>12.67</v>
      </c>
      <c r="E167">
        <v>14.58</v>
      </c>
      <c r="F167">
        <v>8.5131639999999997</v>
      </c>
      <c r="G167">
        <v>0</v>
      </c>
    </row>
    <row r="168" spans="1:7" x14ac:dyDescent="0.3">
      <c r="A168" s="1">
        <v>39753</v>
      </c>
      <c r="B168">
        <v>14.64</v>
      </c>
      <c r="C168">
        <v>15.35</v>
      </c>
      <c r="D168">
        <v>10.45</v>
      </c>
      <c r="E168">
        <v>13.15</v>
      </c>
      <c r="F168">
        <v>7.6781980000000001</v>
      </c>
      <c r="G168">
        <v>0</v>
      </c>
    </row>
    <row r="169" spans="1:7" x14ac:dyDescent="0.3">
      <c r="A169" s="1">
        <v>39783</v>
      </c>
      <c r="B169">
        <v>11.8</v>
      </c>
      <c r="C169">
        <v>13.41</v>
      </c>
      <c r="D169">
        <v>11.8</v>
      </c>
      <c r="E169">
        <v>13.41</v>
      </c>
      <c r="F169">
        <v>7.830012</v>
      </c>
      <c r="G169">
        <v>0</v>
      </c>
    </row>
    <row r="170" spans="1:7" x14ac:dyDescent="0.3">
      <c r="A170" s="1">
        <v>39814</v>
      </c>
      <c r="B170">
        <v>13.9</v>
      </c>
      <c r="C170">
        <v>14.06</v>
      </c>
      <c r="D170">
        <v>11.3</v>
      </c>
      <c r="E170">
        <v>11.82</v>
      </c>
      <c r="F170">
        <v>6.9887800000000002</v>
      </c>
      <c r="G170">
        <v>0</v>
      </c>
    </row>
    <row r="171" spans="1:7" x14ac:dyDescent="0.3">
      <c r="A171" s="1">
        <v>39845</v>
      </c>
      <c r="B171">
        <v>11.76</v>
      </c>
      <c r="C171">
        <v>12.44</v>
      </c>
      <c r="D171">
        <v>10.119999999999999</v>
      </c>
      <c r="E171">
        <v>10.16</v>
      </c>
      <c r="F171">
        <v>6.0072760000000001</v>
      </c>
      <c r="G171">
        <v>0</v>
      </c>
    </row>
    <row r="172" spans="1:7" x14ac:dyDescent="0.3">
      <c r="A172" s="1">
        <v>39873</v>
      </c>
      <c r="B172">
        <v>9.57</v>
      </c>
      <c r="C172">
        <v>11.67</v>
      </c>
      <c r="D172">
        <v>8.94</v>
      </c>
      <c r="E172">
        <v>11</v>
      </c>
      <c r="F172">
        <v>6.5039420000000003</v>
      </c>
      <c r="G172">
        <v>0</v>
      </c>
    </row>
    <row r="173" spans="1:7" x14ac:dyDescent="0.3">
      <c r="A173" s="1">
        <v>39904</v>
      </c>
      <c r="B173">
        <v>11.31</v>
      </c>
      <c r="C173">
        <v>12.78</v>
      </c>
      <c r="D173">
        <v>11.31</v>
      </c>
      <c r="E173">
        <v>12.78</v>
      </c>
      <c r="F173">
        <v>7.6748669999999999</v>
      </c>
      <c r="G173">
        <v>0</v>
      </c>
    </row>
    <row r="174" spans="1:7" x14ac:dyDescent="0.3">
      <c r="A174" s="1">
        <v>39934</v>
      </c>
      <c r="B174">
        <v>12.93</v>
      </c>
      <c r="C174">
        <v>14.38</v>
      </c>
      <c r="D174">
        <v>12.93</v>
      </c>
      <c r="E174">
        <v>13.76</v>
      </c>
      <c r="F174">
        <v>8.2633949999999992</v>
      </c>
      <c r="G174">
        <v>0</v>
      </c>
    </row>
    <row r="175" spans="1:7" x14ac:dyDescent="0.3">
      <c r="A175" s="1">
        <v>39965</v>
      </c>
      <c r="B175">
        <v>14.14</v>
      </c>
      <c r="C175">
        <v>14.24</v>
      </c>
      <c r="D175">
        <v>13.04</v>
      </c>
      <c r="E175">
        <v>13.58</v>
      </c>
      <c r="F175">
        <v>8.1552959999999999</v>
      </c>
      <c r="G175">
        <v>0</v>
      </c>
    </row>
    <row r="176" spans="1:7" x14ac:dyDescent="0.3">
      <c r="A176" s="1">
        <v>39995</v>
      </c>
      <c r="B176">
        <v>13.62</v>
      </c>
      <c r="C176">
        <v>14.86</v>
      </c>
      <c r="D176">
        <v>12.72</v>
      </c>
      <c r="E176">
        <v>14.86</v>
      </c>
      <c r="F176">
        <v>8.9328479999999999</v>
      </c>
      <c r="G176">
        <v>0</v>
      </c>
    </row>
    <row r="177" spans="1:7" x14ac:dyDescent="0.3">
      <c r="A177" s="1">
        <v>40026</v>
      </c>
      <c r="B177">
        <v>15.26</v>
      </c>
      <c r="C177">
        <v>16.040001</v>
      </c>
      <c r="D177">
        <v>15.09</v>
      </c>
      <c r="E177">
        <v>15.87</v>
      </c>
      <c r="F177">
        <v>9.5399930000000008</v>
      </c>
      <c r="G177">
        <v>0</v>
      </c>
    </row>
    <row r="178" spans="1:7" x14ac:dyDescent="0.3">
      <c r="A178" s="1">
        <v>40057</v>
      </c>
      <c r="B178">
        <v>15.4</v>
      </c>
      <c r="C178">
        <v>17</v>
      </c>
      <c r="D178">
        <v>15.32</v>
      </c>
      <c r="E178">
        <v>16.52</v>
      </c>
      <c r="F178">
        <v>9.9307289999999995</v>
      </c>
      <c r="G178">
        <v>0</v>
      </c>
    </row>
    <row r="179" spans="1:7" x14ac:dyDescent="0.3">
      <c r="A179" s="1">
        <v>40087</v>
      </c>
      <c r="B179">
        <v>16.049999</v>
      </c>
      <c r="C179">
        <v>17.200001</v>
      </c>
      <c r="D179">
        <v>15.81</v>
      </c>
      <c r="E179">
        <v>15.81</v>
      </c>
      <c r="F179">
        <v>9.5278320000000001</v>
      </c>
      <c r="G179">
        <v>0</v>
      </c>
    </row>
    <row r="180" spans="1:7" x14ac:dyDescent="0.3">
      <c r="A180" s="1">
        <v>40118</v>
      </c>
      <c r="B180">
        <v>15.9</v>
      </c>
      <c r="C180">
        <v>17.07</v>
      </c>
      <c r="D180">
        <v>15.9</v>
      </c>
      <c r="E180">
        <v>16.700001</v>
      </c>
      <c r="F180">
        <v>10.064188</v>
      </c>
      <c r="G180">
        <v>0</v>
      </c>
    </row>
    <row r="181" spans="1:7" x14ac:dyDescent="0.3">
      <c r="A181" s="1">
        <v>40148</v>
      </c>
      <c r="B181">
        <v>16.870000999999998</v>
      </c>
      <c r="C181">
        <v>17.280000999999999</v>
      </c>
      <c r="D181">
        <v>16.649999999999999</v>
      </c>
      <c r="E181">
        <v>17.059999000000001</v>
      </c>
      <c r="F181">
        <v>10.281141</v>
      </c>
      <c r="G181">
        <v>0</v>
      </c>
    </row>
    <row r="182" spans="1:7" x14ac:dyDescent="0.3">
      <c r="A182" s="1">
        <v>40179</v>
      </c>
      <c r="B182">
        <v>17.420000000000002</v>
      </c>
      <c r="C182">
        <v>17.899999999999999</v>
      </c>
      <c r="D182">
        <v>16.66</v>
      </c>
      <c r="E182">
        <v>16.66</v>
      </c>
      <c r="F182">
        <v>10.093268</v>
      </c>
      <c r="G182">
        <v>0</v>
      </c>
    </row>
    <row r="183" spans="1:7" x14ac:dyDescent="0.3">
      <c r="A183" s="1">
        <v>40210</v>
      </c>
      <c r="B183">
        <v>16.950001</v>
      </c>
      <c r="C183">
        <v>17.379999000000002</v>
      </c>
      <c r="D183">
        <v>16.34</v>
      </c>
      <c r="E183">
        <v>17.379999000000002</v>
      </c>
      <c r="F183">
        <v>10.529472</v>
      </c>
      <c r="G183">
        <v>0</v>
      </c>
    </row>
    <row r="184" spans="1:7" x14ac:dyDescent="0.3">
      <c r="A184" s="1">
        <v>40238</v>
      </c>
      <c r="B184">
        <v>17.579999999999998</v>
      </c>
      <c r="C184">
        <v>18.73</v>
      </c>
      <c r="D184">
        <v>17.579999999999998</v>
      </c>
      <c r="E184">
        <v>18.690000999999999</v>
      </c>
      <c r="F184">
        <v>11.323119999999999</v>
      </c>
      <c r="G184">
        <v>0</v>
      </c>
    </row>
    <row r="185" spans="1:7" x14ac:dyDescent="0.3">
      <c r="A185" s="1">
        <v>40269</v>
      </c>
      <c r="B185">
        <v>18.899999999999999</v>
      </c>
      <c r="C185">
        <v>19.82</v>
      </c>
      <c r="D185">
        <v>18.899999999999999</v>
      </c>
      <c r="E185">
        <v>19.280000999999999</v>
      </c>
      <c r="F185">
        <v>11.709097</v>
      </c>
      <c r="G185">
        <v>0</v>
      </c>
    </row>
    <row r="186" spans="1:7" x14ac:dyDescent="0.3">
      <c r="A186" s="1">
        <v>40299</v>
      </c>
      <c r="B186">
        <v>19.57</v>
      </c>
      <c r="C186">
        <v>19.57</v>
      </c>
      <c r="D186">
        <v>17.02</v>
      </c>
      <c r="E186">
        <v>17.629999000000002</v>
      </c>
      <c r="F186">
        <v>10.724455000000001</v>
      </c>
      <c r="G186">
        <v>0</v>
      </c>
    </row>
    <row r="187" spans="1:7" x14ac:dyDescent="0.3">
      <c r="A187" s="1">
        <v>40330</v>
      </c>
      <c r="B187">
        <v>17.170000000000002</v>
      </c>
      <c r="C187">
        <v>17.950001</v>
      </c>
      <c r="D187">
        <v>16.239999999999998</v>
      </c>
      <c r="E187">
        <v>16.239999999999998</v>
      </c>
      <c r="F187">
        <v>9.8789079999999991</v>
      </c>
      <c r="G187">
        <v>0</v>
      </c>
    </row>
    <row r="188" spans="1:7" x14ac:dyDescent="0.3">
      <c r="A188" s="1">
        <v>40360</v>
      </c>
      <c r="B188">
        <v>16.149999999999999</v>
      </c>
      <c r="C188">
        <v>17.690000999999999</v>
      </c>
      <c r="D188">
        <v>16.02</v>
      </c>
      <c r="E188">
        <v>17.510000000000002</v>
      </c>
      <c r="F188">
        <v>10.689112</v>
      </c>
      <c r="G188">
        <v>0</v>
      </c>
    </row>
    <row r="189" spans="1:7" x14ac:dyDescent="0.3">
      <c r="A189" s="1">
        <v>40391</v>
      </c>
      <c r="B189">
        <v>17.93</v>
      </c>
      <c r="C189">
        <v>17.93</v>
      </c>
      <c r="D189">
        <v>16.329999999999998</v>
      </c>
      <c r="E189">
        <v>16.440000999999999</v>
      </c>
      <c r="F189">
        <v>10.035923</v>
      </c>
      <c r="G189">
        <v>0</v>
      </c>
    </row>
    <row r="190" spans="1:7" x14ac:dyDescent="0.3">
      <c r="A190" s="1">
        <v>40422</v>
      </c>
      <c r="B190">
        <v>17.049999</v>
      </c>
      <c r="C190">
        <v>18</v>
      </c>
      <c r="D190">
        <v>17.049999</v>
      </c>
      <c r="E190">
        <v>17.920000000000002</v>
      </c>
      <c r="F190">
        <v>10.939398000000001</v>
      </c>
      <c r="G190">
        <v>0</v>
      </c>
    </row>
    <row r="191" spans="1:7" x14ac:dyDescent="0.3">
      <c r="A191" s="1">
        <v>40452</v>
      </c>
      <c r="B191">
        <v>18.010000000000002</v>
      </c>
      <c r="C191">
        <v>18.620000999999998</v>
      </c>
      <c r="D191">
        <v>17.829999999999998</v>
      </c>
      <c r="E191">
        <v>18.579999999999998</v>
      </c>
      <c r="F191">
        <v>11.425998999999999</v>
      </c>
      <c r="G191">
        <v>0</v>
      </c>
    </row>
    <row r="192" spans="1:7" x14ac:dyDescent="0.3">
      <c r="A192" s="1">
        <v>40483</v>
      </c>
      <c r="B192">
        <v>18.59</v>
      </c>
      <c r="C192">
        <v>19.23</v>
      </c>
      <c r="D192">
        <v>18.41</v>
      </c>
      <c r="E192">
        <v>18.440000999999999</v>
      </c>
      <c r="F192">
        <v>11.339911000000001</v>
      </c>
      <c r="G192">
        <v>0</v>
      </c>
    </row>
    <row r="193" spans="1:7" x14ac:dyDescent="0.3">
      <c r="A193" s="1">
        <v>40513</v>
      </c>
      <c r="B193">
        <v>18.91</v>
      </c>
      <c r="C193">
        <v>20.120000999999998</v>
      </c>
      <c r="D193">
        <v>18.91</v>
      </c>
      <c r="E193">
        <v>20.120000999999998</v>
      </c>
      <c r="F193">
        <v>12.373042</v>
      </c>
      <c r="G193">
        <v>0</v>
      </c>
    </row>
    <row r="194" spans="1:7" x14ac:dyDescent="0.3">
      <c r="A194" s="1">
        <v>40544</v>
      </c>
      <c r="B194">
        <v>20.440000999999999</v>
      </c>
      <c r="C194">
        <v>20.950001</v>
      </c>
      <c r="D194">
        <v>20.43</v>
      </c>
      <c r="E194">
        <v>20.77</v>
      </c>
      <c r="F194">
        <v>12.844713</v>
      </c>
      <c r="G194">
        <v>0</v>
      </c>
    </row>
    <row r="195" spans="1:7" x14ac:dyDescent="0.3">
      <c r="A195" s="1">
        <v>40575</v>
      </c>
      <c r="B195">
        <v>21.200001</v>
      </c>
      <c r="C195">
        <v>22.110001</v>
      </c>
      <c r="D195">
        <v>21.16</v>
      </c>
      <c r="E195">
        <v>21.889999</v>
      </c>
      <c r="F195">
        <v>13.537353</v>
      </c>
      <c r="G195">
        <v>0</v>
      </c>
    </row>
    <row r="196" spans="1:7" x14ac:dyDescent="0.3">
      <c r="A196" s="1">
        <v>40603</v>
      </c>
      <c r="B196">
        <v>21.49</v>
      </c>
      <c r="C196">
        <v>21.959999</v>
      </c>
      <c r="D196">
        <v>20.73</v>
      </c>
      <c r="E196">
        <v>21.93</v>
      </c>
      <c r="F196">
        <v>13.56209</v>
      </c>
      <c r="G196">
        <v>0</v>
      </c>
    </row>
    <row r="197" spans="1:7" x14ac:dyDescent="0.3">
      <c r="A197" s="1">
        <v>40634</v>
      </c>
      <c r="B197">
        <v>22.09</v>
      </c>
      <c r="C197">
        <v>22.48</v>
      </c>
      <c r="D197">
        <v>21.48</v>
      </c>
      <c r="E197">
        <v>22.48</v>
      </c>
      <c r="F197">
        <v>13.940357000000001</v>
      </c>
      <c r="G197">
        <v>0</v>
      </c>
    </row>
    <row r="198" spans="1:7" x14ac:dyDescent="0.3">
      <c r="A198" s="1">
        <v>40664</v>
      </c>
      <c r="B198">
        <v>22.450001</v>
      </c>
      <c r="C198">
        <v>22.450001</v>
      </c>
      <c r="D198">
        <v>21.57</v>
      </c>
      <c r="E198">
        <v>22.16</v>
      </c>
      <c r="F198">
        <v>13.741918999999999</v>
      </c>
      <c r="G198">
        <v>0</v>
      </c>
    </row>
    <row r="199" spans="1:7" x14ac:dyDescent="0.3">
      <c r="A199" s="1">
        <v>40695</v>
      </c>
      <c r="B199">
        <v>21.6</v>
      </c>
      <c r="C199">
        <v>21.68</v>
      </c>
      <c r="D199">
        <v>20.59</v>
      </c>
      <c r="E199">
        <v>21.68</v>
      </c>
      <c r="F199">
        <v>13.444255</v>
      </c>
      <c r="G199">
        <v>0</v>
      </c>
    </row>
    <row r="200" spans="1:7" x14ac:dyDescent="0.3">
      <c r="A200" s="1">
        <v>40725</v>
      </c>
      <c r="B200">
        <v>22.040001</v>
      </c>
      <c r="C200">
        <v>22.08</v>
      </c>
      <c r="D200">
        <v>20.690000999999999</v>
      </c>
      <c r="E200">
        <v>20.690000999999999</v>
      </c>
      <c r="F200">
        <v>12.875662</v>
      </c>
      <c r="G200">
        <v>0</v>
      </c>
    </row>
    <row r="201" spans="1:7" x14ac:dyDescent="0.3">
      <c r="A201" s="1">
        <v>40756</v>
      </c>
      <c r="B201">
        <v>20.58</v>
      </c>
      <c r="C201">
        <v>20.58</v>
      </c>
      <c r="D201">
        <v>17.200001</v>
      </c>
      <c r="E201">
        <v>18.940000999999999</v>
      </c>
      <c r="F201">
        <v>11.786612999999999</v>
      </c>
      <c r="G201">
        <v>0</v>
      </c>
    </row>
    <row r="202" spans="1:7" x14ac:dyDescent="0.3">
      <c r="A202" s="1">
        <v>40787</v>
      </c>
      <c r="B202">
        <v>18.709999</v>
      </c>
      <c r="C202">
        <v>18.719999000000001</v>
      </c>
      <c r="D202">
        <v>16.950001</v>
      </c>
      <c r="E202">
        <v>16.950001</v>
      </c>
      <c r="F202">
        <v>10.548214</v>
      </c>
      <c r="G202">
        <v>0</v>
      </c>
    </row>
    <row r="203" spans="1:7" x14ac:dyDescent="0.3">
      <c r="A203" s="1">
        <v>40817</v>
      </c>
      <c r="B203">
        <v>16.32</v>
      </c>
      <c r="C203">
        <v>19.920000000000002</v>
      </c>
      <c r="D203">
        <v>16.32</v>
      </c>
      <c r="E203">
        <v>19.290001</v>
      </c>
      <c r="F203">
        <v>12.057725</v>
      </c>
      <c r="G203">
        <v>0</v>
      </c>
    </row>
    <row r="204" spans="1:7" x14ac:dyDescent="0.3">
      <c r="A204" s="1">
        <v>40848</v>
      </c>
      <c r="B204">
        <v>18.66</v>
      </c>
      <c r="C204">
        <v>19.649999999999999</v>
      </c>
      <c r="D204">
        <v>17.579999999999998</v>
      </c>
      <c r="E204">
        <v>19.129999000000002</v>
      </c>
      <c r="F204">
        <v>11.957713</v>
      </c>
      <c r="G204">
        <v>0</v>
      </c>
    </row>
    <row r="205" spans="1:7" x14ac:dyDescent="0.3">
      <c r="A205" s="1">
        <v>40878</v>
      </c>
      <c r="B205">
        <v>19.049999</v>
      </c>
      <c r="C205">
        <v>19.389999</v>
      </c>
      <c r="D205">
        <v>18.100000000000001</v>
      </c>
      <c r="E205">
        <v>19.139999</v>
      </c>
      <c r="F205">
        <v>11.96396</v>
      </c>
      <c r="G205">
        <v>0</v>
      </c>
    </row>
    <row r="206" spans="1:7" x14ac:dyDescent="0.3">
      <c r="A206" s="1">
        <v>40909</v>
      </c>
      <c r="B206">
        <v>19.549999</v>
      </c>
      <c r="C206">
        <v>20.34</v>
      </c>
      <c r="D206">
        <v>19.549999</v>
      </c>
      <c r="E206">
        <v>20.09</v>
      </c>
      <c r="F206">
        <v>12.648952</v>
      </c>
      <c r="G206">
        <v>0</v>
      </c>
    </row>
    <row r="207" spans="1:7" x14ac:dyDescent="0.3">
      <c r="A207" s="1">
        <v>40940</v>
      </c>
      <c r="B207">
        <v>20.379999000000002</v>
      </c>
      <c r="C207">
        <v>21.370000999999998</v>
      </c>
      <c r="D207">
        <v>20.379999000000002</v>
      </c>
      <c r="E207">
        <v>21.25</v>
      </c>
      <c r="F207">
        <v>13.379303999999999</v>
      </c>
      <c r="G207">
        <v>0</v>
      </c>
    </row>
    <row r="208" spans="1:7" x14ac:dyDescent="0.3">
      <c r="A208" s="1">
        <v>40969</v>
      </c>
      <c r="B208">
        <v>21.43</v>
      </c>
      <c r="C208">
        <v>21.85</v>
      </c>
      <c r="D208">
        <v>20.77</v>
      </c>
      <c r="E208">
        <v>21.57</v>
      </c>
      <c r="F208">
        <v>13.580776</v>
      </c>
      <c r="G208">
        <v>0</v>
      </c>
    </row>
    <row r="209" spans="1:7" x14ac:dyDescent="0.3">
      <c r="A209" s="1">
        <v>41000</v>
      </c>
      <c r="B209">
        <v>21.719999000000001</v>
      </c>
      <c r="C209">
        <v>21.719999000000001</v>
      </c>
      <c r="D209">
        <v>20.5</v>
      </c>
      <c r="E209">
        <v>21.120000999999998</v>
      </c>
      <c r="F209">
        <v>13.340676999999999</v>
      </c>
      <c r="G209">
        <v>0</v>
      </c>
    </row>
    <row r="210" spans="1:7" x14ac:dyDescent="0.3">
      <c r="A210" s="1">
        <v>41030</v>
      </c>
      <c r="B210">
        <v>21.35</v>
      </c>
      <c r="C210">
        <v>21.35</v>
      </c>
      <c r="D210">
        <v>19.370000999999998</v>
      </c>
      <c r="E210">
        <v>19.620000999999998</v>
      </c>
      <c r="F210">
        <v>12.393183000000001</v>
      </c>
      <c r="G210">
        <v>0</v>
      </c>
    </row>
    <row r="211" spans="1:7" x14ac:dyDescent="0.3">
      <c r="A211" s="1">
        <v>41061</v>
      </c>
      <c r="B211">
        <v>19.09</v>
      </c>
      <c r="C211">
        <v>20.57</v>
      </c>
      <c r="D211">
        <v>19.010000000000002</v>
      </c>
      <c r="E211">
        <v>20.57</v>
      </c>
      <c r="F211">
        <v>12.993261</v>
      </c>
      <c r="G211">
        <v>0</v>
      </c>
    </row>
    <row r="212" spans="1:7" x14ac:dyDescent="0.3">
      <c r="A212" s="1">
        <v>41091</v>
      </c>
      <c r="B212">
        <v>20.629999000000002</v>
      </c>
      <c r="C212">
        <v>20.860001</v>
      </c>
      <c r="D212">
        <v>20.02</v>
      </c>
      <c r="E212">
        <v>20.77</v>
      </c>
      <c r="F212">
        <v>13.185753</v>
      </c>
      <c r="G212">
        <v>0</v>
      </c>
    </row>
    <row r="213" spans="1:7" x14ac:dyDescent="0.3">
      <c r="A213" s="1">
        <v>41122</v>
      </c>
      <c r="B213">
        <v>20.76</v>
      </c>
      <c r="C213">
        <v>21.73</v>
      </c>
      <c r="D213">
        <v>20.639999</v>
      </c>
      <c r="E213">
        <v>21.59</v>
      </c>
      <c r="F213">
        <v>13.706327</v>
      </c>
      <c r="G213">
        <v>0</v>
      </c>
    </row>
    <row r="214" spans="1:7" x14ac:dyDescent="0.3">
      <c r="A214" s="1">
        <v>41153</v>
      </c>
      <c r="B214">
        <v>21.559999000000001</v>
      </c>
      <c r="C214">
        <v>22.83</v>
      </c>
      <c r="D214">
        <v>21.559999000000001</v>
      </c>
      <c r="E214">
        <v>22.280000999999999</v>
      </c>
      <c r="F214">
        <v>14.144373999999999</v>
      </c>
      <c r="G214">
        <v>0</v>
      </c>
    </row>
    <row r="215" spans="1:7" x14ac:dyDescent="0.3">
      <c r="A215" s="1">
        <v>41183</v>
      </c>
      <c r="B215">
        <v>22.360001</v>
      </c>
      <c r="C215">
        <v>23.08</v>
      </c>
      <c r="D215">
        <v>22.26</v>
      </c>
      <c r="E215">
        <v>22.34</v>
      </c>
      <c r="F215">
        <v>14.244479999999999</v>
      </c>
      <c r="G215">
        <v>0</v>
      </c>
    </row>
    <row r="216" spans="1:7" x14ac:dyDescent="0.3">
      <c r="A216" s="1">
        <v>41214</v>
      </c>
      <c r="B216">
        <v>22.610001</v>
      </c>
      <c r="C216">
        <v>22.700001</v>
      </c>
      <c r="D216">
        <v>21.34</v>
      </c>
      <c r="E216">
        <v>22.389999</v>
      </c>
      <c r="F216">
        <v>14.276357000000001</v>
      </c>
      <c r="G216">
        <v>0</v>
      </c>
    </row>
    <row r="217" spans="1:7" x14ac:dyDescent="0.3">
      <c r="A217" s="1">
        <v>41244</v>
      </c>
      <c r="B217">
        <v>22.280000999999999</v>
      </c>
      <c r="C217">
        <v>23.17</v>
      </c>
      <c r="D217">
        <v>22.280000999999999</v>
      </c>
      <c r="E217">
        <v>22.9</v>
      </c>
      <c r="F217">
        <v>14.601544000000001</v>
      </c>
      <c r="G217">
        <v>0</v>
      </c>
    </row>
    <row r="218" spans="1:7" x14ac:dyDescent="0.3">
      <c r="A218" s="1">
        <v>41275</v>
      </c>
      <c r="B218">
        <v>23.540001</v>
      </c>
      <c r="C218">
        <v>24.719999000000001</v>
      </c>
      <c r="D218">
        <v>23.469999000000001</v>
      </c>
      <c r="E218">
        <v>24.49</v>
      </c>
      <c r="F218">
        <v>15.729692</v>
      </c>
      <c r="G218">
        <v>0</v>
      </c>
    </row>
    <row r="219" spans="1:7" x14ac:dyDescent="0.3">
      <c r="A219" s="1">
        <v>41306</v>
      </c>
      <c r="B219">
        <v>24.83</v>
      </c>
      <c r="C219">
        <v>25.35</v>
      </c>
      <c r="D219">
        <v>24.27</v>
      </c>
      <c r="E219">
        <v>24.799999</v>
      </c>
      <c r="F219">
        <v>15.928794</v>
      </c>
      <c r="G219">
        <v>0</v>
      </c>
    </row>
    <row r="220" spans="1:7" x14ac:dyDescent="0.3">
      <c r="A220" s="1">
        <v>41334</v>
      </c>
      <c r="B220">
        <v>24.85</v>
      </c>
      <c r="C220">
        <v>25.91</v>
      </c>
      <c r="D220">
        <v>24.85</v>
      </c>
      <c r="E220">
        <v>25.91</v>
      </c>
      <c r="F220">
        <v>16.641739000000001</v>
      </c>
      <c r="G220">
        <v>0</v>
      </c>
    </row>
    <row r="221" spans="1:7" x14ac:dyDescent="0.3">
      <c r="A221" s="1">
        <v>41365</v>
      </c>
      <c r="B221">
        <v>25.790001</v>
      </c>
      <c r="C221">
        <v>26.17</v>
      </c>
      <c r="D221">
        <v>25.129999000000002</v>
      </c>
      <c r="E221">
        <v>26.17</v>
      </c>
      <c r="F221">
        <v>16.862307000000001</v>
      </c>
      <c r="G221">
        <v>0</v>
      </c>
    </row>
    <row r="222" spans="1:7" x14ac:dyDescent="0.3">
      <c r="A222" s="1">
        <v>41395</v>
      </c>
      <c r="B222">
        <v>25.91</v>
      </c>
      <c r="C222">
        <v>27.709999</v>
      </c>
      <c r="D222">
        <v>25.91</v>
      </c>
      <c r="E222">
        <v>27.25</v>
      </c>
      <c r="F222">
        <v>17.55818</v>
      </c>
      <c r="G222">
        <v>0</v>
      </c>
    </row>
    <row r="223" spans="1:7" x14ac:dyDescent="0.3">
      <c r="A223" s="1">
        <v>41426</v>
      </c>
      <c r="B223">
        <v>27.389999</v>
      </c>
      <c r="C223">
        <v>27.5</v>
      </c>
      <c r="D223">
        <v>26.02</v>
      </c>
      <c r="E223">
        <v>26.83</v>
      </c>
      <c r="F223">
        <v>17.287562999999999</v>
      </c>
      <c r="G223">
        <v>0</v>
      </c>
    </row>
    <row r="224" spans="1:7" x14ac:dyDescent="0.3">
      <c r="A224" s="1">
        <v>41456</v>
      </c>
      <c r="B224">
        <v>26.98</v>
      </c>
      <c r="C224">
        <v>28.68</v>
      </c>
      <c r="D224">
        <v>26.91</v>
      </c>
      <c r="E224">
        <v>28.440000999999999</v>
      </c>
      <c r="F224">
        <v>18.397251000000001</v>
      </c>
      <c r="G224">
        <v>0</v>
      </c>
    </row>
    <row r="225" spans="1:7" x14ac:dyDescent="0.3">
      <c r="A225" s="1">
        <v>41487</v>
      </c>
      <c r="B225">
        <v>28.959999</v>
      </c>
      <c r="C225">
        <v>28.959999</v>
      </c>
      <c r="D225">
        <v>27.51</v>
      </c>
      <c r="E225">
        <v>27.59</v>
      </c>
      <c r="F225">
        <v>17.847403</v>
      </c>
      <c r="G225">
        <v>0</v>
      </c>
    </row>
    <row r="226" spans="1:7" x14ac:dyDescent="0.3">
      <c r="A226" s="1">
        <v>41518</v>
      </c>
      <c r="B226">
        <v>27.82</v>
      </c>
      <c r="C226">
        <v>29.049999</v>
      </c>
      <c r="D226">
        <v>27.82</v>
      </c>
      <c r="E226">
        <v>28.290001</v>
      </c>
      <c r="F226">
        <v>18.300219999999999</v>
      </c>
      <c r="G226">
        <v>0</v>
      </c>
    </row>
    <row r="227" spans="1:7" x14ac:dyDescent="0.3">
      <c r="A227" s="1">
        <v>41548</v>
      </c>
      <c r="B227">
        <v>28.530000999999999</v>
      </c>
      <c r="C227">
        <v>29.99</v>
      </c>
      <c r="D227">
        <v>27.969999000000001</v>
      </c>
      <c r="E227">
        <v>29.719999000000001</v>
      </c>
      <c r="F227">
        <v>19.304099999999998</v>
      </c>
      <c r="G227">
        <v>0</v>
      </c>
    </row>
    <row r="228" spans="1:7" x14ac:dyDescent="0.3">
      <c r="A228" s="1">
        <v>41579</v>
      </c>
      <c r="B228">
        <v>29.799999</v>
      </c>
      <c r="C228">
        <v>31.030000999999999</v>
      </c>
      <c r="D228">
        <v>29.450001</v>
      </c>
      <c r="E228">
        <v>30.959999</v>
      </c>
      <c r="F228">
        <v>20.109524</v>
      </c>
      <c r="G228">
        <v>0</v>
      </c>
    </row>
    <row r="229" spans="1:7" x14ac:dyDescent="0.3">
      <c r="A229" s="1">
        <v>41609</v>
      </c>
      <c r="B229">
        <v>30.940000999999999</v>
      </c>
      <c r="C229">
        <v>31.620000999999998</v>
      </c>
      <c r="D229">
        <v>30.280000999999999</v>
      </c>
      <c r="E229">
        <v>31.620000999999998</v>
      </c>
      <c r="F229">
        <v>20.538221</v>
      </c>
      <c r="G229">
        <v>0</v>
      </c>
    </row>
    <row r="230" spans="1:7" x14ac:dyDescent="0.3">
      <c r="A230" s="1">
        <v>41640</v>
      </c>
      <c r="B230">
        <v>31.360001</v>
      </c>
      <c r="C230">
        <v>31.66</v>
      </c>
      <c r="D230">
        <v>30.26</v>
      </c>
      <c r="E230">
        <v>30.370000999999998</v>
      </c>
      <c r="F230">
        <v>19.824573999999998</v>
      </c>
      <c r="G230">
        <v>0</v>
      </c>
    </row>
    <row r="231" spans="1:7" x14ac:dyDescent="0.3">
      <c r="A231" s="1">
        <v>41671</v>
      </c>
      <c r="B231">
        <v>29.639999</v>
      </c>
      <c r="C231">
        <v>31.389999</v>
      </c>
      <c r="D231">
        <v>29.639999</v>
      </c>
      <c r="E231">
        <v>31.389999</v>
      </c>
      <c r="F231">
        <v>20.490396</v>
      </c>
      <c r="G231">
        <v>0</v>
      </c>
    </row>
    <row r="232" spans="1:7" x14ac:dyDescent="0.3">
      <c r="A232" s="1">
        <v>41699</v>
      </c>
      <c r="B232">
        <v>31.15</v>
      </c>
      <c r="C232">
        <v>32.029998999999997</v>
      </c>
      <c r="D232">
        <v>31.15</v>
      </c>
      <c r="E232">
        <v>32.020000000000003</v>
      </c>
      <c r="F232">
        <v>20.901648999999999</v>
      </c>
      <c r="G232">
        <v>0</v>
      </c>
    </row>
    <row r="233" spans="1:7" x14ac:dyDescent="0.3">
      <c r="A233" s="1">
        <v>41730</v>
      </c>
      <c r="B233">
        <v>32.209999000000003</v>
      </c>
      <c r="C233">
        <v>32.450001</v>
      </c>
      <c r="D233">
        <v>30.99</v>
      </c>
      <c r="E233">
        <v>32.229999999999997</v>
      </c>
      <c r="F233">
        <v>21.10792</v>
      </c>
      <c r="G233">
        <v>0</v>
      </c>
    </row>
    <row r="234" spans="1:7" x14ac:dyDescent="0.3">
      <c r="A234" s="1">
        <v>41760</v>
      </c>
      <c r="B234">
        <v>32.229999999999997</v>
      </c>
      <c r="C234">
        <v>32.93</v>
      </c>
      <c r="D234">
        <v>31.99</v>
      </c>
      <c r="E234">
        <v>32.93</v>
      </c>
      <c r="F234">
        <v>21.56636</v>
      </c>
      <c r="G234">
        <v>0</v>
      </c>
    </row>
    <row r="235" spans="1:7" x14ac:dyDescent="0.3">
      <c r="A235" s="1">
        <v>41791</v>
      </c>
      <c r="B235">
        <v>32.990001999999997</v>
      </c>
      <c r="C235">
        <v>33.860000999999997</v>
      </c>
      <c r="D235">
        <v>32.990001999999997</v>
      </c>
      <c r="E235">
        <v>33.689999</v>
      </c>
      <c r="F235">
        <v>22.064101999999998</v>
      </c>
      <c r="G235">
        <v>0</v>
      </c>
    </row>
    <row r="236" spans="1:7" x14ac:dyDescent="0.3">
      <c r="A236" s="1">
        <v>41821</v>
      </c>
      <c r="B236">
        <v>33.900002000000001</v>
      </c>
      <c r="C236">
        <v>34.479999999999997</v>
      </c>
      <c r="D236">
        <v>33.439999</v>
      </c>
      <c r="E236">
        <v>33.439999</v>
      </c>
      <c r="F236">
        <v>21.989742</v>
      </c>
      <c r="G236">
        <v>0</v>
      </c>
    </row>
    <row r="237" spans="1:7" x14ac:dyDescent="0.3">
      <c r="A237" s="1">
        <v>41852</v>
      </c>
      <c r="B237">
        <v>33.290000999999997</v>
      </c>
      <c r="C237">
        <v>34.5</v>
      </c>
      <c r="D237">
        <v>32.82</v>
      </c>
      <c r="E237">
        <v>34.5</v>
      </c>
      <c r="F237">
        <v>22.686785</v>
      </c>
      <c r="G237">
        <v>0</v>
      </c>
    </row>
    <row r="238" spans="1:7" x14ac:dyDescent="0.3">
      <c r="A238" s="1">
        <v>41883</v>
      </c>
      <c r="B238">
        <v>34.43</v>
      </c>
      <c r="C238">
        <v>34.57</v>
      </c>
      <c r="D238">
        <v>33.490001999999997</v>
      </c>
      <c r="E238">
        <v>33.490001999999997</v>
      </c>
      <c r="F238">
        <v>22.022631000000001</v>
      </c>
      <c r="G238">
        <v>0</v>
      </c>
    </row>
    <row r="239" spans="1:7" x14ac:dyDescent="0.3">
      <c r="A239" s="1">
        <v>41913</v>
      </c>
      <c r="B239">
        <v>32.939999</v>
      </c>
      <c r="C239">
        <v>33.75</v>
      </c>
      <c r="D239">
        <v>30.99</v>
      </c>
      <c r="E239">
        <v>33.75</v>
      </c>
      <c r="F239">
        <v>22.292665</v>
      </c>
      <c r="G239">
        <v>0</v>
      </c>
    </row>
    <row r="240" spans="1:7" x14ac:dyDescent="0.3">
      <c r="A240" s="1">
        <v>41944</v>
      </c>
      <c r="B240">
        <v>33.659999999999997</v>
      </c>
      <c r="C240">
        <v>34.659999999999997</v>
      </c>
      <c r="D240">
        <v>33.409999999999997</v>
      </c>
      <c r="E240">
        <v>34.139999000000003</v>
      </c>
      <c r="F240">
        <v>22.550267999999999</v>
      </c>
      <c r="G240">
        <v>0</v>
      </c>
    </row>
    <row r="241" spans="1:7" x14ac:dyDescent="0.3">
      <c r="A241" s="1">
        <v>41974</v>
      </c>
      <c r="B241">
        <v>33.93</v>
      </c>
      <c r="C241">
        <v>34.479999999999997</v>
      </c>
      <c r="D241">
        <v>32.139999000000003</v>
      </c>
      <c r="E241">
        <v>33.990001999999997</v>
      </c>
      <c r="F241">
        <v>22.451188999999999</v>
      </c>
      <c r="G241">
        <v>0</v>
      </c>
    </row>
    <row r="242" spans="1:7" x14ac:dyDescent="0.3">
      <c r="A242" s="1">
        <v>42005</v>
      </c>
      <c r="B242">
        <v>33.970001000000003</v>
      </c>
      <c r="C242">
        <v>33.970001000000003</v>
      </c>
      <c r="D242">
        <v>32.299999</v>
      </c>
      <c r="E242">
        <v>32.299999</v>
      </c>
      <c r="F242">
        <v>21.586957999999999</v>
      </c>
      <c r="G242">
        <v>0</v>
      </c>
    </row>
    <row r="243" spans="1:7" x14ac:dyDescent="0.3">
      <c r="A243" s="1">
        <v>42036</v>
      </c>
      <c r="B243">
        <v>32.860000999999997</v>
      </c>
      <c r="C243">
        <v>34.880001</v>
      </c>
      <c r="D243">
        <v>32.860000999999997</v>
      </c>
      <c r="E243">
        <v>34.580002</v>
      </c>
      <c r="F243">
        <v>23.110744</v>
      </c>
      <c r="G243">
        <v>0</v>
      </c>
    </row>
    <row r="244" spans="1:7" x14ac:dyDescent="0.3">
      <c r="A244" s="1">
        <v>42064</v>
      </c>
      <c r="B244">
        <v>34.740001999999997</v>
      </c>
      <c r="C244">
        <v>34.740001999999997</v>
      </c>
      <c r="D244">
        <v>33.330002</v>
      </c>
      <c r="E244">
        <v>33.779998999999997</v>
      </c>
      <c r="F244">
        <v>22.576084000000002</v>
      </c>
      <c r="G244">
        <v>0</v>
      </c>
    </row>
    <row r="245" spans="1:7" x14ac:dyDescent="0.3">
      <c r="A245" s="1">
        <v>42095</v>
      </c>
      <c r="B245">
        <v>33.729999999999997</v>
      </c>
      <c r="C245">
        <v>34.840000000000003</v>
      </c>
      <c r="D245">
        <v>33.729999999999997</v>
      </c>
      <c r="E245">
        <v>34.470001000000003</v>
      </c>
      <c r="F245">
        <v>23.130951</v>
      </c>
      <c r="G245">
        <v>0</v>
      </c>
    </row>
    <row r="246" spans="1:7" x14ac:dyDescent="0.3">
      <c r="A246" s="1">
        <v>42125</v>
      </c>
      <c r="B246">
        <v>34.799999</v>
      </c>
      <c r="C246">
        <v>35.099997999999999</v>
      </c>
      <c r="D246">
        <v>34.340000000000003</v>
      </c>
      <c r="E246">
        <v>34.840000000000003</v>
      </c>
      <c r="F246">
        <v>23.379238000000001</v>
      </c>
      <c r="G246">
        <v>0</v>
      </c>
    </row>
    <row r="247" spans="1:7" x14ac:dyDescent="0.3">
      <c r="A247" s="1">
        <v>42156</v>
      </c>
      <c r="B247">
        <v>34.840000000000003</v>
      </c>
      <c r="C247">
        <v>35.130001</v>
      </c>
      <c r="D247">
        <v>34.020000000000003</v>
      </c>
      <c r="E247">
        <v>34.119999</v>
      </c>
      <c r="F247">
        <v>22.896083999999998</v>
      </c>
      <c r="G247">
        <v>0</v>
      </c>
    </row>
    <row r="248" spans="1:7" x14ac:dyDescent="0.3">
      <c r="A248" s="1">
        <v>42186</v>
      </c>
      <c r="B248">
        <v>34.32</v>
      </c>
      <c r="C248">
        <v>34.590000000000003</v>
      </c>
      <c r="D248">
        <v>33.400002000000001</v>
      </c>
      <c r="E248">
        <v>34.029998999999997</v>
      </c>
      <c r="F248">
        <v>22.939361999999999</v>
      </c>
      <c r="G248">
        <v>0</v>
      </c>
    </row>
    <row r="249" spans="1:7" x14ac:dyDescent="0.3">
      <c r="A249" s="1">
        <v>42217</v>
      </c>
      <c r="B249">
        <v>33.880001</v>
      </c>
      <c r="C249">
        <v>34.080002</v>
      </c>
      <c r="D249">
        <v>29.99</v>
      </c>
      <c r="E249">
        <v>31.959999</v>
      </c>
      <c r="F249">
        <v>21.543989</v>
      </c>
      <c r="G249">
        <v>0</v>
      </c>
    </row>
    <row r="250" spans="1:7" x14ac:dyDescent="0.3">
      <c r="A250" s="1">
        <v>42248</v>
      </c>
      <c r="B250">
        <v>31.01</v>
      </c>
      <c r="C250">
        <v>32.150002000000001</v>
      </c>
      <c r="D250">
        <v>30.030000999999999</v>
      </c>
      <c r="E250">
        <v>30.76</v>
      </c>
      <c r="F250">
        <v>20.735081000000001</v>
      </c>
      <c r="G250">
        <v>0</v>
      </c>
    </row>
    <row r="251" spans="1:7" x14ac:dyDescent="0.3">
      <c r="A251" s="1">
        <v>42278</v>
      </c>
      <c r="B251">
        <v>30.85</v>
      </c>
      <c r="C251">
        <v>33.459999000000003</v>
      </c>
      <c r="D251">
        <v>30.85</v>
      </c>
      <c r="E251">
        <v>33.270000000000003</v>
      </c>
      <c r="F251">
        <v>22.547768000000001</v>
      </c>
      <c r="G251">
        <v>0</v>
      </c>
    </row>
    <row r="252" spans="1:7" x14ac:dyDescent="0.3">
      <c r="A252" s="1">
        <v>42309</v>
      </c>
      <c r="B252">
        <v>33.779998999999997</v>
      </c>
      <c r="C252">
        <v>33.889999000000003</v>
      </c>
      <c r="D252">
        <v>32.479999999999997</v>
      </c>
      <c r="E252">
        <v>33.389999000000003</v>
      </c>
      <c r="F252">
        <v>22.629090999999999</v>
      </c>
      <c r="G252">
        <v>0</v>
      </c>
    </row>
    <row r="253" spans="1:7" x14ac:dyDescent="0.3">
      <c r="A253" s="1">
        <v>42339</v>
      </c>
      <c r="B253">
        <v>33.810001</v>
      </c>
      <c r="C253">
        <v>33.810001</v>
      </c>
      <c r="D253">
        <v>30.17</v>
      </c>
      <c r="E253">
        <v>30.82</v>
      </c>
      <c r="F253">
        <v>20.887346000000001</v>
      </c>
      <c r="G253">
        <v>0</v>
      </c>
    </row>
    <row r="254" spans="1:7" x14ac:dyDescent="0.3">
      <c r="A254" s="1">
        <v>42370</v>
      </c>
      <c r="B254">
        <v>30.450001</v>
      </c>
      <c r="C254">
        <v>30.48</v>
      </c>
      <c r="D254">
        <v>27.48</v>
      </c>
      <c r="E254">
        <v>28.719999000000001</v>
      </c>
      <c r="F254">
        <v>20.439657</v>
      </c>
      <c r="G254">
        <v>0</v>
      </c>
    </row>
    <row r="255" spans="1:7" x14ac:dyDescent="0.3">
      <c r="A255" s="1">
        <v>42401</v>
      </c>
      <c r="B255">
        <v>28.65</v>
      </c>
      <c r="C255">
        <v>29.040001</v>
      </c>
      <c r="D255">
        <v>26.98</v>
      </c>
      <c r="E255">
        <v>28.77</v>
      </c>
      <c r="F255">
        <v>20.475235000000001</v>
      </c>
      <c r="G255">
        <v>0</v>
      </c>
    </row>
    <row r="256" spans="1:7" x14ac:dyDescent="0.3">
      <c r="A256" s="1">
        <v>42430</v>
      </c>
      <c r="B256">
        <v>29.469999000000001</v>
      </c>
      <c r="C256">
        <v>31.030000999999999</v>
      </c>
      <c r="D256">
        <v>29.469999000000001</v>
      </c>
      <c r="E256">
        <v>30.68</v>
      </c>
      <c r="F256">
        <v>21.834558000000001</v>
      </c>
      <c r="G256">
        <v>0</v>
      </c>
    </row>
    <row r="257" spans="1:7" x14ac:dyDescent="0.3">
      <c r="A257" s="1">
        <v>42461</v>
      </c>
      <c r="B257">
        <v>30.780000999999999</v>
      </c>
      <c r="C257">
        <v>32.060001</v>
      </c>
      <c r="D257">
        <v>30.209999</v>
      </c>
      <c r="E257">
        <v>31.51</v>
      </c>
      <c r="F257">
        <v>22.557085000000001</v>
      </c>
      <c r="G257">
        <v>0</v>
      </c>
    </row>
    <row r="258" spans="1:7" x14ac:dyDescent="0.3">
      <c r="A258" s="1">
        <v>42491</v>
      </c>
      <c r="B258">
        <v>31.690000999999999</v>
      </c>
      <c r="C258">
        <v>31.940000999999999</v>
      </c>
      <c r="D258">
        <v>30.889999</v>
      </c>
      <c r="E258">
        <v>31.93</v>
      </c>
      <c r="F258">
        <v>22.857752000000001</v>
      </c>
      <c r="G258">
        <v>0</v>
      </c>
    </row>
    <row r="259" spans="1:7" x14ac:dyDescent="0.3">
      <c r="A259" s="1">
        <v>42522</v>
      </c>
      <c r="B259">
        <v>32</v>
      </c>
      <c r="C259">
        <v>32.439999</v>
      </c>
      <c r="D259">
        <v>30.16</v>
      </c>
      <c r="E259">
        <v>31.73</v>
      </c>
      <c r="F259">
        <v>22.714579000000001</v>
      </c>
      <c r="G259">
        <v>0</v>
      </c>
    </row>
    <row r="260" spans="1:7" x14ac:dyDescent="0.3">
      <c r="A260" s="1">
        <v>42552</v>
      </c>
      <c r="B260">
        <v>31.790001</v>
      </c>
      <c r="C260">
        <v>32.979999999999997</v>
      </c>
      <c r="D260">
        <v>31.360001</v>
      </c>
      <c r="E260">
        <v>32.82</v>
      </c>
      <c r="F260">
        <v>23.620730999999999</v>
      </c>
      <c r="G260">
        <v>0</v>
      </c>
    </row>
    <row r="261" spans="1:7" x14ac:dyDescent="0.3">
      <c r="A261" s="1">
        <v>42583</v>
      </c>
      <c r="B261">
        <v>32.590000000000003</v>
      </c>
      <c r="C261">
        <v>33.299999</v>
      </c>
      <c r="D261">
        <v>32.369999</v>
      </c>
      <c r="E261">
        <v>33.200001</v>
      </c>
      <c r="F261">
        <v>23.894217999999999</v>
      </c>
      <c r="G261">
        <v>0</v>
      </c>
    </row>
    <row r="262" spans="1:7" x14ac:dyDescent="0.3">
      <c r="A262" s="1">
        <v>42614</v>
      </c>
      <c r="B262">
        <v>33.18</v>
      </c>
      <c r="C262">
        <v>33.490001999999997</v>
      </c>
      <c r="D262">
        <v>32.459999000000003</v>
      </c>
      <c r="E262">
        <v>33.200001</v>
      </c>
      <c r="F262">
        <v>23.894217999999999</v>
      </c>
      <c r="G262">
        <v>0</v>
      </c>
    </row>
    <row r="263" spans="1:7" x14ac:dyDescent="0.3">
      <c r="A263" s="1">
        <v>42644</v>
      </c>
      <c r="B263">
        <v>33.110000999999997</v>
      </c>
      <c r="C263">
        <v>33.340000000000003</v>
      </c>
      <c r="D263">
        <v>32.590000000000003</v>
      </c>
      <c r="E263">
        <v>32.630001</v>
      </c>
      <c r="F263">
        <v>23.595942999999998</v>
      </c>
      <c r="G263">
        <v>0</v>
      </c>
    </row>
    <row r="264" spans="1:7" x14ac:dyDescent="0.3">
      <c r="A264" s="1">
        <v>42675</v>
      </c>
      <c r="B264">
        <v>32.43</v>
      </c>
      <c r="C264">
        <v>35.25</v>
      </c>
      <c r="D264">
        <v>32.110000999999997</v>
      </c>
      <c r="E264">
        <v>35.189999</v>
      </c>
      <c r="F264">
        <v>25.44717</v>
      </c>
      <c r="G264">
        <v>0</v>
      </c>
    </row>
    <row r="265" spans="1:7" x14ac:dyDescent="0.3">
      <c r="A265" s="1">
        <v>42705</v>
      </c>
      <c r="B265">
        <v>35.279998999999997</v>
      </c>
      <c r="C265">
        <v>36.57</v>
      </c>
      <c r="D265">
        <v>35.090000000000003</v>
      </c>
      <c r="E265">
        <v>35.090000000000003</v>
      </c>
      <c r="F265">
        <v>25.374856999999999</v>
      </c>
      <c r="G265">
        <v>0</v>
      </c>
    </row>
    <row r="266" spans="1:7" x14ac:dyDescent="0.3">
      <c r="A266" s="1">
        <v>42736</v>
      </c>
      <c r="B266">
        <v>35.400002000000001</v>
      </c>
      <c r="C266">
        <v>35.970001000000003</v>
      </c>
      <c r="D266">
        <v>35.270000000000003</v>
      </c>
      <c r="E266">
        <v>35.599997999999999</v>
      </c>
      <c r="F266">
        <v>26.463668999999999</v>
      </c>
      <c r="G266">
        <v>0</v>
      </c>
    </row>
    <row r="267" spans="1:7" x14ac:dyDescent="0.3">
      <c r="A267" s="1">
        <v>42767</v>
      </c>
      <c r="B267">
        <v>35.630001</v>
      </c>
      <c r="C267">
        <v>36.869999</v>
      </c>
      <c r="D267">
        <v>35.560001</v>
      </c>
      <c r="E267">
        <v>36.669998</v>
      </c>
      <c r="F267">
        <v>27.259060000000002</v>
      </c>
      <c r="G267">
        <v>0</v>
      </c>
    </row>
    <row r="268" spans="1:7" x14ac:dyDescent="0.3">
      <c r="A268" s="1">
        <v>42795</v>
      </c>
      <c r="B268">
        <v>37.25</v>
      </c>
      <c r="C268">
        <v>37.25</v>
      </c>
      <c r="D268">
        <v>35.82</v>
      </c>
      <c r="E268">
        <v>36.169998</v>
      </c>
      <c r="F268">
        <v>26.887384000000001</v>
      </c>
      <c r="G268">
        <v>0</v>
      </c>
    </row>
    <row r="269" spans="1:7" x14ac:dyDescent="0.3">
      <c r="A269" s="1">
        <v>42826</v>
      </c>
      <c r="B269">
        <v>36.080002</v>
      </c>
      <c r="C269">
        <v>36.580002</v>
      </c>
      <c r="D269">
        <v>35.479999999999997</v>
      </c>
      <c r="E269">
        <v>36.409999999999997</v>
      </c>
      <c r="F269">
        <v>27.184446000000001</v>
      </c>
      <c r="G269">
        <v>0</v>
      </c>
    </row>
    <row r="270" spans="1:7" x14ac:dyDescent="0.3">
      <c r="A270" s="1">
        <v>42856</v>
      </c>
      <c r="B270">
        <v>36.450001</v>
      </c>
      <c r="C270">
        <v>36.560001</v>
      </c>
      <c r="D270">
        <v>35.689999</v>
      </c>
      <c r="E270">
        <v>36.369999</v>
      </c>
      <c r="F270">
        <v>27.154578999999998</v>
      </c>
      <c r="G270">
        <v>0</v>
      </c>
    </row>
    <row r="271" spans="1:7" x14ac:dyDescent="0.3">
      <c r="A271" s="1">
        <v>42887</v>
      </c>
      <c r="B271">
        <v>36.75</v>
      </c>
      <c r="C271">
        <v>37.25</v>
      </c>
      <c r="D271">
        <v>36.57</v>
      </c>
      <c r="E271">
        <v>36.799999</v>
      </c>
      <c r="F271">
        <v>27.475624</v>
      </c>
      <c r="G271">
        <v>0</v>
      </c>
    </row>
    <row r="272" spans="1:7" x14ac:dyDescent="0.3">
      <c r="A272" s="1">
        <v>42917</v>
      </c>
      <c r="B272">
        <v>37.029998999999997</v>
      </c>
      <c r="C272">
        <v>37.509998000000003</v>
      </c>
      <c r="D272">
        <v>36.740001999999997</v>
      </c>
      <c r="E272">
        <v>37.419998</v>
      </c>
      <c r="F272">
        <v>28.067170999999998</v>
      </c>
      <c r="G272">
        <v>0</v>
      </c>
    </row>
    <row r="273" spans="1:7" x14ac:dyDescent="0.3">
      <c r="A273" s="1">
        <v>42948</v>
      </c>
      <c r="B273">
        <v>37.520000000000003</v>
      </c>
      <c r="C273">
        <v>37.560001</v>
      </c>
      <c r="D273">
        <v>36.540000999999997</v>
      </c>
      <c r="E273">
        <v>37.07</v>
      </c>
      <c r="F273">
        <v>27.804656999999999</v>
      </c>
      <c r="G273">
        <v>0</v>
      </c>
    </row>
    <row r="274" spans="1:7" x14ac:dyDescent="0.3">
      <c r="A274" s="1">
        <v>42979</v>
      </c>
      <c r="B274">
        <v>37.25</v>
      </c>
      <c r="C274">
        <v>38.290000999999997</v>
      </c>
      <c r="D274">
        <v>36.75</v>
      </c>
      <c r="E274">
        <v>38.290000999999997</v>
      </c>
      <c r="F274">
        <v>28.719726999999999</v>
      </c>
      <c r="G274">
        <v>0</v>
      </c>
    </row>
    <row r="275" spans="1:7" x14ac:dyDescent="0.3">
      <c r="A275" s="1">
        <v>43009</v>
      </c>
      <c r="B275">
        <v>38.509998000000003</v>
      </c>
      <c r="C275">
        <v>38.990001999999997</v>
      </c>
      <c r="D275">
        <v>38.409999999999997</v>
      </c>
      <c r="E275">
        <v>38.840000000000003</v>
      </c>
      <c r="F275">
        <v>29.289873</v>
      </c>
      <c r="G275">
        <v>0</v>
      </c>
    </row>
    <row r="276" spans="1:7" x14ac:dyDescent="0.3">
      <c r="A276" s="1">
        <v>43040</v>
      </c>
      <c r="B276">
        <v>39.009998000000003</v>
      </c>
      <c r="C276">
        <v>40.220001000000003</v>
      </c>
      <c r="D276">
        <v>38.619999</v>
      </c>
      <c r="E276">
        <v>40.220001000000003</v>
      </c>
      <c r="F276">
        <v>30.330563000000001</v>
      </c>
      <c r="G276">
        <v>0</v>
      </c>
    </row>
    <row r="277" spans="1:7" x14ac:dyDescent="0.3">
      <c r="A277" s="1">
        <v>43070</v>
      </c>
      <c r="B277">
        <v>40.220001000000003</v>
      </c>
      <c r="C277">
        <v>40.630001</v>
      </c>
      <c r="D277">
        <v>38.619999</v>
      </c>
      <c r="E277">
        <v>39.119999</v>
      </c>
      <c r="F277">
        <v>29.501021999999999</v>
      </c>
      <c r="G277">
        <v>0</v>
      </c>
    </row>
    <row r="278" spans="1:7" x14ac:dyDescent="0.3">
      <c r="A278" s="1">
        <v>43101</v>
      </c>
      <c r="B278">
        <v>39.540000999999997</v>
      </c>
      <c r="C278">
        <v>42</v>
      </c>
      <c r="D278">
        <v>39.540000999999997</v>
      </c>
      <c r="E278">
        <v>41.130001</v>
      </c>
      <c r="F278">
        <v>32.642432999999997</v>
      </c>
      <c r="G278">
        <v>0</v>
      </c>
    </row>
    <row r="279" spans="1:7" x14ac:dyDescent="0.3">
      <c r="A279" s="1">
        <v>43132</v>
      </c>
      <c r="B279">
        <v>41.25</v>
      </c>
      <c r="C279">
        <v>41.25</v>
      </c>
      <c r="D279">
        <v>37.639999000000003</v>
      </c>
      <c r="E279">
        <v>39.090000000000003</v>
      </c>
      <c r="F279">
        <v>31.023405</v>
      </c>
      <c r="G279">
        <v>0</v>
      </c>
    </row>
    <row r="280" spans="1:7" x14ac:dyDescent="0.3">
      <c r="A280" s="1">
        <v>43160</v>
      </c>
      <c r="B280">
        <v>38.659999999999997</v>
      </c>
      <c r="C280">
        <v>40.139999000000003</v>
      </c>
      <c r="D280">
        <v>37.380001</v>
      </c>
      <c r="E280">
        <v>38.029998999999997</v>
      </c>
      <c r="F280">
        <v>30.182155999999999</v>
      </c>
      <c r="G280">
        <v>0</v>
      </c>
    </row>
    <row r="281" spans="1:7" x14ac:dyDescent="0.3">
      <c r="A281" s="1">
        <v>43191</v>
      </c>
      <c r="B281">
        <v>37.150002000000001</v>
      </c>
      <c r="C281">
        <v>38.990001999999997</v>
      </c>
      <c r="D281">
        <v>37.150002000000001</v>
      </c>
      <c r="E281">
        <v>38.090000000000003</v>
      </c>
      <c r="F281">
        <v>30.364902000000001</v>
      </c>
      <c r="G281">
        <v>0</v>
      </c>
    </row>
    <row r="282" spans="1:7" x14ac:dyDescent="0.3">
      <c r="A282" s="1">
        <v>43221</v>
      </c>
      <c r="B282">
        <v>38.119999</v>
      </c>
      <c r="C282">
        <v>39.279998999999997</v>
      </c>
      <c r="D282">
        <v>37.590000000000003</v>
      </c>
      <c r="E282">
        <v>38.439999</v>
      </c>
      <c r="F282">
        <v>30.643913000000001</v>
      </c>
      <c r="G282">
        <v>0</v>
      </c>
    </row>
    <row r="283" spans="1:7" x14ac:dyDescent="0.3">
      <c r="A283" s="1">
        <v>43252</v>
      </c>
      <c r="B283">
        <v>38.869999</v>
      </c>
      <c r="C283">
        <v>39.610000999999997</v>
      </c>
      <c r="D283">
        <v>37.939999</v>
      </c>
      <c r="E283">
        <v>37.979999999999997</v>
      </c>
      <c r="F283">
        <v>30.27721</v>
      </c>
      <c r="G283">
        <v>0</v>
      </c>
    </row>
    <row r="284" spans="1:7" x14ac:dyDescent="0.3">
      <c r="A284" s="1">
        <v>43282</v>
      </c>
      <c r="B284">
        <v>38.040000999999997</v>
      </c>
      <c r="C284">
        <v>39.549999</v>
      </c>
      <c r="D284">
        <v>37.93</v>
      </c>
      <c r="E284">
        <v>39.549999</v>
      </c>
      <c r="F284">
        <v>31.687061</v>
      </c>
      <c r="G284">
        <v>0</v>
      </c>
    </row>
    <row r="285" spans="1:7" x14ac:dyDescent="0.3">
      <c r="A285" s="1">
        <v>43313</v>
      </c>
      <c r="B285">
        <v>39.330002</v>
      </c>
      <c r="C285">
        <v>40.419998</v>
      </c>
      <c r="D285">
        <v>39.060001</v>
      </c>
      <c r="E285">
        <v>40.119999</v>
      </c>
      <c r="F285">
        <v>32.143737999999999</v>
      </c>
      <c r="G285">
        <v>0</v>
      </c>
    </row>
    <row r="286" spans="1:7" x14ac:dyDescent="0.3">
      <c r="A286" s="1">
        <v>43344</v>
      </c>
      <c r="B286">
        <v>40.040000999999997</v>
      </c>
      <c r="C286">
        <v>40.840000000000003</v>
      </c>
      <c r="D286">
        <v>39.779998999999997</v>
      </c>
      <c r="E286">
        <v>39.950001</v>
      </c>
      <c r="F286">
        <v>32.007542000000001</v>
      </c>
      <c r="G286">
        <v>0</v>
      </c>
    </row>
    <row r="287" spans="1:7" x14ac:dyDescent="0.3">
      <c r="A287" s="1">
        <v>43374</v>
      </c>
      <c r="B287">
        <v>40.060001</v>
      </c>
      <c r="C287">
        <v>40.279998999999997</v>
      </c>
      <c r="D287">
        <v>36.119999</v>
      </c>
      <c r="E287">
        <v>37.409999999999997</v>
      </c>
      <c r="F287">
        <v>30.120844000000002</v>
      </c>
      <c r="G287">
        <v>0</v>
      </c>
    </row>
    <row r="288" spans="1:7" x14ac:dyDescent="0.3">
      <c r="A288" s="1">
        <v>43405</v>
      </c>
      <c r="B288">
        <v>37.880001</v>
      </c>
      <c r="C288">
        <v>38.970001000000003</v>
      </c>
      <c r="D288">
        <v>36.830002</v>
      </c>
      <c r="E288">
        <v>38.279998999999997</v>
      </c>
      <c r="F288">
        <v>30.821314000000001</v>
      </c>
      <c r="G288">
        <v>0</v>
      </c>
    </row>
    <row r="289" spans="1:7" x14ac:dyDescent="0.3">
      <c r="A289" s="1">
        <v>43435</v>
      </c>
      <c r="B289">
        <v>38.669998</v>
      </c>
      <c r="C289">
        <v>38.669998</v>
      </c>
      <c r="D289">
        <v>30.23</v>
      </c>
      <c r="E289">
        <v>32.139999000000003</v>
      </c>
      <c r="F289">
        <v>25.877672</v>
      </c>
      <c r="G289">
        <v>0</v>
      </c>
    </row>
    <row r="290" spans="1:7" x14ac:dyDescent="0.3">
      <c r="A290" s="1">
        <v>43466</v>
      </c>
      <c r="B290">
        <v>32.369999</v>
      </c>
      <c r="C290">
        <v>34.919998</v>
      </c>
      <c r="D290">
        <v>31.709999</v>
      </c>
      <c r="E290">
        <v>34.919998</v>
      </c>
      <c r="F290">
        <v>29.792406</v>
      </c>
      <c r="G290">
        <v>0</v>
      </c>
    </row>
    <row r="291" spans="1:7" x14ac:dyDescent="0.3">
      <c r="A291" s="1">
        <v>43497</v>
      </c>
      <c r="B291">
        <v>35.099997999999999</v>
      </c>
      <c r="C291">
        <v>36.150002000000001</v>
      </c>
      <c r="D291">
        <v>34.779998999999997</v>
      </c>
      <c r="E291">
        <v>35.790000999999997</v>
      </c>
      <c r="F291">
        <v>30.534658</v>
      </c>
      <c r="G291">
        <v>0</v>
      </c>
    </row>
    <row r="292" spans="1:7" x14ac:dyDescent="0.3">
      <c r="A292" s="1">
        <v>43525</v>
      </c>
      <c r="B292">
        <v>35.990001999999997</v>
      </c>
      <c r="C292">
        <v>36.119999</v>
      </c>
      <c r="D292">
        <v>34.909999999999997</v>
      </c>
      <c r="E292">
        <v>35.43</v>
      </c>
      <c r="F292">
        <v>30.227523999999999</v>
      </c>
      <c r="G292">
        <v>0</v>
      </c>
    </row>
    <row r="293" spans="1:7" x14ac:dyDescent="0.3">
      <c r="A293" s="1">
        <v>43556</v>
      </c>
      <c r="B293">
        <v>35.990001999999997</v>
      </c>
      <c r="C293">
        <v>36.689999</v>
      </c>
      <c r="D293">
        <v>35.840000000000003</v>
      </c>
      <c r="E293">
        <v>36.650002000000001</v>
      </c>
      <c r="F293">
        <v>31.427745999999999</v>
      </c>
      <c r="G293">
        <v>0</v>
      </c>
    </row>
    <row r="294" spans="1:7" x14ac:dyDescent="0.3">
      <c r="A294" s="1">
        <v>43586</v>
      </c>
      <c r="B294">
        <v>36.369999</v>
      </c>
      <c r="C294">
        <v>36.57</v>
      </c>
      <c r="D294">
        <v>33.810001</v>
      </c>
      <c r="E294">
        <v>33.810001</v>
      </c>
      <c r="F294">
        <v>28.992415999999999</v>
      </c>
      <c r="G294">
        <v>0</v>
      </c>
    </row>
    <row r="295" spans="1:7" x14ac:dyDescent="0.3">
      <c r="A295" s="1">
        <v>43617</v>
      </c>
      <c r="B295">
        <v>34.099997999999999</v>
      </c>
      <c r="C295">
        <v>36.32</v>
      </c>
      <c r="D295">
        <v>34.099997999999999</v>
      </c>
      <c r="E295">
        <v>36.32</v>
      </c>
      <c r="F295">
        <v>31.144772</v>
      </c>
      <c r="G295">
        <v>0</v>
      </c>
    </row>
    <row r="296" spans="1:7" x14ac:dyDescent="0.3">
      <c r="A296" s="1">
        <v>43647</v>
      </c>
      <c r="B296">
        <v>36.560001</v>
      </c>
      <c r="C296">
        <v>37.290000999999997</v>
      </c>
      <c r="D296">
        <v>36.450001</v>
      </c>
      <c r="E296">
        <v>36.700001</v>
      </c>
      <c r="F296">
        <v>31.649338</v>
      </c>
      <c r="G296">
        <v>0</v>
      </c>
    </row>
    <row r="297" spans="1:7" x14ac:dyDescent="0.3">
      <c r="A297" s="1">
        <v>43678</v>
      </c>
      <c r="B297">
        <v>36.080002</v>
      </c>
      <c r="C297">
        <v>36.080002</v>
      </c>
      <c r="D297">
        <v>34.090000000000003</v>
      </c>
      <c r="E297">
        <v>35.189999</v>
      </c>
      <c r="F297">
        <v>30.347142999999999</v>
      </c>
      <c r="G297">
        <v>0</v>
      </c>
    </row>
    <row r="298" spans="1:7" x14ac:dyDescent="0.3">
      <c r="A298" s="1">
        <v>43709</v>
      </c>
      <c r="B298">
        <v>34.93</v>
      </c>
      <c r="C298">
        <v>37.310001</v>
      </c>
      <c r="D298">
        <v>34.93</v>
      </c>
      <c r="E298">
        <v>36.360000999999997</v>
      </c>
      <c r="F298">
        <v>31.356121000000002</v>
      </c>
      <c r="G298">
        <v>0</v>
      </c>
    </row>
    <row r="299" spans="1:7" x14ac:dyDescent="0.3">
      <c r="A299" s="1">
        <v>43739</v>
      </c>
      <c r="B299">
        <v>35.709999000000003</v>
      </c>
      <c r="C299">
        <v>37.470001000000003</v>
      </c>
      <c r="D299">
        <v>34.830002</v>
      </c>
      <c r="E299">
        <v>37.130001</v>
      </c>
      <c r="F299">
        <v>32.210842</v>
      </c>
      <c r="G299">
        <v>0</v>
      </c>
    </row>
    <row r="300" spans="1:7" x14ac:dyDescent="0.3">
      <c r="A300" s="1">
        <v>43770</v>
      </c>
      <c r="B300">
        <v>37.130001</v>
      </c>
      <c r="C300">
        <v>38.779998999999997</v>
      </c>
      <c r="D300">
        <v>37.130001</v>
      </c>
      <c r="E300">
        <v>38.580002</v>
      </c>
      <c r="F300">
        <v>33.468735000000002</v>
      </c>
      <c r="G300">
        <v>0</v>
      </c>
    </row>
    <row r="301" spans="1:7" x14ac:dyDescent="0.3">
      <c r="A301" s="1">
        <v>43800</v>
      </c>
      <c r="B301">
        <v>38.349997999999999</v>
      </c>
      <c r="C301">
        <v>39.209999000000003</v>
      </c>
      <c r="D301">
        <v>37.93</v>
      </c>
      <c r="E301">
        <v>38.68</v>
      </c>
      <c r="F301">
        <v>33.555481</v>
      </c>
      <c r="G301">
        <v>0</v>
      </c>
    </row>
    <row r="302" spans="1:7" x14ac:dyDescent="0.3">
      <c r="A302" s="1">
        <v>43831</v>
      </c>
      <c r="B302">
        <v>38.93</v>
      </c>
      <c r="C302">
        <v>39.029998999999997</v>
      </c>
      <c r="D302">
        <v>37.090000000000003</v>
      </c>
      <c r="E302">
        <v>37.090000000000003</v>
      </c>
      <c r="F302">
        <v>32.987133</v>
      </c>
      <c r="G302">
        <v>0</v>
      </c>
    </row>
    <row r="303" spans="1:7" x14ac:dyDescent="0.3">
      <c r="A303" s="1">
        <v>43862</v>
      </c>
      <c r="B303">
        <v>37.200001</v>
      </c>
      <c r="C303">
        <v>38.770000000000003</v>
      </c>
      <c r="D303">
        <v>33.169998</v>
      </c>
      <c r="E303">
        <v>33.169998</v>
      </c>
      <c r="F303">
        <v>29.500757</v>
      </c>
      <c r="G303">
        <v>0</v>
      </c>
    </row>
    <row r="304" spans="1:7" x14ac:dyDescent="0.3">
      <c r="A304" s="1">
        <v>43891</v>
      </c>
      <c r="B304">
        <v>34.459999000000003</v>
      </c>
      <c r="C304">
        <v>34.740001999999997</v>
      </c>
      <c r="D304">
        <v>22.719999000000001</v>
      </c>
      <c r="E304">
        <v>26.290001</v>
      </c>
      <c r="F304">
        <v>23.381823000000001</v>
      </c>
      <c r="G304">
        <v>0</v>
      </c>
    </row>
    <row r="305" spans="1:7" x14ac:dyDescent="0.3">
      <c r="A305" s="1">
        <v>43922</v>
      </c>
      <c r="B305">
        <v>24.969999000000001</v>
      </c>
      <c r="C305">
        <v>30.549999</v>
      </c>
      <c r="D305">
        <v>24.969999000000001</v>
      </c>
      <c r="E305">
        <v>29.73</v>
      </c>
      <c r="F305">
        <v>26.643908</v>
      </c>
      <c r="G305">
        <v>0</v>
      </c>
    </row>
    <row r="306" spans="1:7" x14ac:dyDescent="0.3">
      <c r="A306" s="1">
        <v>43952</v>
      </c>
      <c r="B306">
        <v>28.74</v>
      </c>
      <c r="C306">
        <v>31.43</v>
      </c>
      <c r="D306">
        <v>27.65</v>
      </c>
      <c r="E306">
        <v>30.870000999999998</v>
      </c>
      <c r="F306">
        <v>27.665572999999998</v>
      </c>
      <c r="G306">
        <v>0</v>
      </c>
    </row>
    <row r="307" spans="1:7" x14ac:dyDescent="0.3">
      <c r="A307" s="1">
        <v>43983</v>
      </c>
      <c r="B307">
        <v>30.99</v>
      </c>
      <c r="C307">
        <v>34.299999</v>
      </c>
      <c r="D307">
        <v>29.639999</v>
      </c>
      <c r="E307">
        <v>30.41</v>
      </c>
      <c r="F307">
        <v>27.253321</v>
      </c>
      <c r="G307">
        <v>0</v>
      </c>
    </row>
    <row r="308" spans="1:7" x14ac:dyDescent="0.3">
      <c r="A308" s="1">
        <v>44013</v>
      </c>
      <c r="B308">
        <v>30.18</v>
      </c>
      <c r="C308">
        <v>31.969999000000001</v>
      </c>
      <c r="D308">
        <v>29.700001</v>
      </c>
      <c r="E308">
        <v>31.370000999999998</v>
      </c>
      <c r="F308">
        <v>28.298891000000001</v>
      </c>
      <c r="G308">
        <v>0</v>
      </c>
    </row>
    <row r="309" spans="1:7" x14ac:dyDescent="0.3">
      <c r="A309" s="1">
        <v>44044</v>
      </c>
      <c r="B309">
        <v>31.559999000000001</v>
      </c>
      <c r="C309">
        <v>33.090000000000003</v>
      </c>
      <c r="D309">
        <v>31.559999000000001</v>
      </c>
      <c r="E309">
        <v>32.759998000000003</v>
      </c>
      <c r="F309">
        <v>29.552804999999999</v>
      </c>
      <c r="G309">
        <v>0</v>
      </c>
    </row>
    <row r="310" spans="1:7" x14ac:dyDescent="0.3">
      <c r="A310" s="1">
        <v>44075</v>
      </c>
      <c r="B310">
        <v>32.840000000000003</v>
      </c>
      <c r="C310">
        <v>33.330002</v>
      </c>
      <c r="D310">
        <v>31.049999</v>
      </c>
      <c r="E310">
        <v>31.799999</v>
      </c>
      <c r="F310">
        <v>28.686793999999999</v>
      </c>
      <c r="G310">
        <v>0</v>
      </c>
    </row>
    <row r="311" spans="1:7" x14ac:dyDescent="0.3">
      <c r="A311" s="1">
        <v>44105</v>
      </c>
      <c r="B311">
        <v>31.780000999999999</v>
      </c>
      <c r="C311">
        <v>33.400002000000001</v>
      </c>
      <c r="D311">
        <v>31.030000999999999</v>
      </c>
      <c r="E311">
        <v>31.4</v>
      </c>
      <c r="F311">
        <v>28.494143999999999</v>
      </c>
      <c r="G311">
        <v>0</v>
      </c>
    </row>
    <row r="312" spans="1:7" x14ac:dyDescent="0.3">
      <c r="A312" s="1">
        <v>44136</v>
      </c>
      <c r="B312">
        <v>32.049999</v>
      </c>
      <c r="C312">
        <v>37.200001</v>
      </c>
      <c r="D312">
        <v>32.049999</v>
      </c>
      <c r="E312">
        <v>36.360000999999997</v>
      </c>
      <c r="F312">
        <v>32.995131999999998</v>
      </c>
      <c r="G312">
        <v>0</v>
      </c>
    </row>
    <row r="313" spans="1:7" x14ac:dyDescent="0.3">
      <c r="A313" s="1">
        <v>44166</v>
      </c>
      <c r="B313">
        <v>36.779998999999997</v>
      </c>
      <c r="C313">
        <v>37.82</v>
      </c>
      <c r="D313">
        <v>36.560001</v>
      </c>
      <c r="E313">
        <v>37.529998999999997</v>
      </c>
      <c r="F313">
        <v>34.056846999999998</v>
      </c>
      <c r="G313">
        <v>0</v>
      </c>
    </row>
    <row r="314" spans="1:7" x14ac:dyDescent="0.3">
      <c r="A314" s="1">
        <v>44197</v>
      </c>
      <c r="B314">
        <v>37.130001</v>
      </c>
      <c r="C314">
        <v>39.82</v>
      </c>
      <c r="D314">
        <v>37.130001</v>
      </c>
      <c r="E314">
        <v>37.639999000000003</v>
      </c>
      <c r="F314">
        <v>34.300545</v>
      </c>
      <c r="G314">
        <v>0</v>
      </c>
    </row>
    <row r="315" spans="1:7" x14ac:dyDescent="0.3">
      <c r="A315" s="1">
        <v>44228</v>
      </c>
      <c r="B315">
        <v>38.009998000000003</v>
      </c>
      <c r="C315">
        <v>41.779998999999997</v>
      </c>
      <c r="D315">
        <v>38.009998000000003</v>
      </c>
      <c r="E315">
        <v>40.540000999999997</v>
      </c>
      <c r="F315">
        <v>36.943252999999999</v>
      </c>
      <c r="G315">
        <v>0</v>
      </c>
    </row>
    <row r="316" spans="1:7" x14ac:dyDescent="0.3">
      <c r="A316" s="1">
        <v>44256</v>
      </c>
      <c r="B316">
        <v>41.509998000000003</v>
      </c>
      <c r="C316">
        <v>43.639999000000003</v>
      </c>
      <c r="D316">
        <v>40.959999000000003</v>
      </c>
      <c r="E316">
        <v>42.889999000000003</v>
      </c>
      <c r="F316">
        <v>39.084755000000001</v>
      </c>
      <c r="G316">
        <v>0</v>
      </c>
    </row>
    <row r="317" spans="1:7" x14ac:dyDescent="0.3">
      <c r="A317" s="1">
        <v>44287</v>
      </c>
      <c r="B317">
        <v>43.290000999999997</v>
      </c>
      <c r="C317">
        <v>44.959999000000003</v>
      </c>
      <c r="D317">
        <v>43.290000999999997</v>
      </c>
      <c r="E317">
        <v>44.529998999999997</v>
      </c>
      <c r="F317">
        <v>40.735168000000002</v>
      </c>
      <c r="G317">
        <v>0</v>
      </c>
    </row>
    <row r="318" spans="1:7" x14ac:dyDescent="0.3">
      <c r="A318" s="1">
        <v>44317</v>
      </c>
      <c r="B318">
        <v>44.990001999999997</v>
      </c>
      <c r="C318">
        <v>46.450001</v>
      </c>
      <c r="D318">
        <v>44.82</v>
      </c>
      <c r="E318">
        <v>46.02</v>
      </c>
      <c r="F318">
        <v>42.098193999999999</v>
      </c>
      <c r="G318">
        <v>0</v>
      </c>
    </row>
    <row r="319" spans="1:7" x14ac:dyDescent="0.3">
      <c r="A319" s="1">
        <v>44348</v>
      </c>
      <c r="B319">
        <v>46.290000999999997</v>
      </c>
      <c r="C319">
        <v>46.380001</v>
      </c>
      <c r="D319">
        <v>43.669998</v>
      </c>
      <c r="E319">
        <v>44.939999</v>
      </c>
      <c r="F319">
        <v>41.110225999999997</v>
      </c>
      <c r="G319">
        <v>0</v>
      </c>
    </row>
    <row r="320" spans="1:7" x14ac:dyDescent="0.3">
      <c r="A320" s="1">
        <v>44378</v>
      </c>
      <c r="B320">
        <v>45.23</v>
      </c>
      <c r="C320">
        <v>45.290000999999997</v>
      </c>
      <c r="D320">
        <v>42.98</v>
      </c>
      <c r="E320">
        <v>44.84</v>
      </c>
      <c r="F320">
        <v>41.190918000000003</v>
      </c>
      <c r="G320">
        <v>0</v>
      </c>
    </row>
    <row r="321" spans="1:7" x14ac:dyDescent="0.3">
      <c r="A321" s="1">
        <v>44409</v>
      </c>
      <c r="B321">
        <v>44.75</v>
      </c>
      <c r="C321">
        <v>46.200001</v>
      </c>
      <c r="D321">
        <v>44.720001000000003</v>
      </c>
      <c r="E321">
        <v>45.810001</v>
      </c>
      <c r="F321">
        <v>42.081982000000004</v>
      </c>
      <c r="G321">
        <v>0</v>
      </c>
    </row>
    <row r="322" spans="1:7" x14ac:dyDescent="0.3">
      <c r="A322" s="1">
        <v>44440</v>
      </c>
      <c r="B322">
        <v>45.650002000000001</v>
      </c>
      <c r="C322">
        <v>46.029998999999997</v>
      </c>
      <c r="D322">
        <v>43.73</v>
      </c>
      <c r="E322">
        <v>44.080002</v>
      </c>
      <c r="F322">
        <v>40.492764000000001</v>
      </c>
      <c r="G322">
        <v>0</v>
      </c>
    </row>
    <row r="323" spans="1:7" x14ac:dyDescent="0.3">
      <c r="A323" s="1">
        <v>44470</v>
      </c>
      <c r="B323">
        <v>44.66</v>
      </c>
      <c r="C323">
        <v>46.529998999999997</v>
      </c>
      <c r="D323">
        <v>44.48</v>
      </c>
      <c r="E323">
        <v>45.91</v>
      </c>
      <c r="F323">
        <v>42.364182</v>
      </c>
      <c r="G323">
        <v>0</v>
      </c>
    </row>
    <row r="324" spans="1:7" x14ac:dyDescent="0.3">
      <c r="A324" s="1">
        <v>44501</v>
      </c>
      <c r="B324">
        <v>46.330002</v>
      </c>
      <c r="C324">
        <v>47.130001</v>
      </c>
      <c r="D324">
        <v>44.720001000000003</v>
      </c>
      <c r="E324">
        <v>44.720001000000003</v>
      </c>
      <c r="F324">
        <v>41.266089999999998</v>
      </c>
      <c r="G324">
        <v>0</v>
      </c>
    </row>
    <row r="325" spans="1:7" x14ac:dyDescent="0.3">
      <c r="A325" s="1">
        <v>44531</v>
      </c>
      <c r="B325">
        <v>44.32</v>
      </c>
      <c r="C325">
        <v>46.450001</v>
      </c>
      <c r="D325">
        <v>44.110000999999997</v>
      </c>
      <c r="E325">
        <v>46.060001</v>
      </c>
      <c r="F325">
        <v>42.502594000000002</v>
      </c>
      <c r="G325">
        <v>0</v>
      </c>
    </row>
    <row r="326" spans="1:7" x14ac:dyDescent="0.3">
      <c r="A326" s="1">
        <v>44562</v>
      </c>
      <c r="B326">
        <v>46.330002</v>
      </c>
      <c r="C326">
        <v>47.43</v>
      </c>
      <c r="D326">
        <v>44.290000999999997</v>
      </c>
      <c r="E326">
        <v>45.279998999999997</v>
      </c>
      <c r="F326">
        <v>43.070072000000003</v>
      </c>
      <c r="G326">
        <v>0</v>
      </c>
    </row>
    <row r="327" spans="1:7" x14ac:dyDescent="0.3">
      <c r="A327" s="1">
        <v>44593</v>
      </c>
      <c r="B327">
        <v>45.790000999999997</v>
      </c>
      <c r="C327">
        <v>46.709999000000003</v>
      </c>
      <c r="D327">
        <v>43.990001999999997</v>
      </c>
      <c r="E327">
        <v>45.049999</v>
      </c>
      <c r="F327">
        <v>42.851295</v>
      </c>
      <c r="G327">
        <v>0</v>
      </c>
    </row>
    <row r="328" spans="1:7" x14ac:dyDescent="0.3">
      <c r="A328" s="1">
        <v>44621</v>
      </c>
      <c r="B328">
        <v>44.220001000000003</v>
      </c>
      <c r="C328">
        <v>46.970001000000003</v>
      </c>
      <c r="D328">
        <v>43.68</v>
      </c>
      <c r="E328">
        <v>45.700001</v>
      </c>
      <c r="F328">
        <v>43.469569999999997</v>
      </c>
      <c r="G328">
        <v>0</v>
      </c>
    </row>
    <row r="329" spans="1:7" x14ac:dyDescent="0.3">
      <c r="A329" s="1">
        <v>44652</v>
      </c>
      <c r="B329">
        <v>45.759998000000003</v>
      </c>
      <c r="C329">
        <v>46.459999000000003</v>
      </c>
      <c r="D329">
        <v>43.07</v>
      </c>
      <c r="E329">
        <v>43.07</v>
      </c>
      <c r="F329">
        <v>41.144001000000003</v>
      </c>
      <c r="G329">
        <v>0</v>
      </c>
    </row>
    <row r="330" spans="1:7" x14ac:dyDescent="0.3">
      <c r="A330" s="1">
        <v>44682</v>
      </c>
      <c r="B330">
        <v>43.290000999999997</v>
      </c>
      <c r="C330">
        <v>45.279998999999997</v>
      </c>
      <c r="D330">
        <v>42.259998000000003</v>
      </c>
      <c r="E330">
        <v>44.959999000000003</v>
      </c>
      <c r="F330">
        <v>42.949482000000003</v>
      </c>
      <c r="G330">
        <v>0</v>
      </c>
    </row>
    <row r="331" spans="1:7" x14ac:dyDescent="0.3">
      <c r="A331" s="1">
        <v>44713</v>
      </c>
      <c r="B331">
        <v>44.630001</v>
      </c>
      <c r="C331">
        <v>45.34</v>
      </c>
      <c r="D331">
        <v>39.340000000000003</v>
      </c>
      <c r="E331">
        <v>39.93</v>
      </c>
      <c r="F331">
        <v>38.144416999999997</v>
      </c>
      <c r="G331">
        <v>0</v>
      </c>
    </row>
    <row r="332" spans="1:7" x14ac:dyDescent="0.3">
      <c r="A332" s="1">
        <v>44743</v>
      </c>
      <c r="B332">
        <v>40.360000999999997</v>
      </c>
      <c r="C332">
        <v>42.439999</v>
      </c>
      <c r="D332">
        <v>39.189999</v>
      </c>
      <c r="E332">
        <v>42.439999</v>
      </c>
      <c r="F332">
        <v>40.772015000000003</v>
      </c>
      <c r="G332">
        <v>0</v>
      </c>
    </row>
    <row r="333" spans="1:7" x14ac:dyDescent="0.3">
      <c r="A333" s="1">
        <v>44774</v>
      </c>
      <c r="B333">
        <v>42.23</v>
      </c>
      <c r="C333">
        <v>43.939999</v>
      </c>
      <c r="D333">
        <v>41.240001999999997</v>
      </c>
      <c r="E333">
        <v>41.240001999999997</v>
      </c>
      <c r="F333">
        <v>39.619179000000003</v>
      </c>
      <c r="G333">
        <v>0</v>
      </c>
    </row>
    <row r="334" spans="1:7" x14ac:dyDescent="0.3">
      <c r="A334" s="1">
        <v>44805</v>
      </c>
      <c r="B334">
        <v>41.200001</v>
      </c>
      <c r="C334">
        <v>42.779998999999997</v>
      </c>
      <c r="D334">
        <v>37.439999</v>
      </c>
      <c r="E334">
        <v>37.439999</v>
      </c>
      <c r="F334">
        <v>35.968525</v>
      </c>
      <c r="G334">
        <v>0</v>
      </c>
    </row>
    <row r="335" spans="1:7" x14ac:dyDescent="0.3">
      <c r="A335" s="1">
        <v>44835</v>
      </c>
      <c r="B335">
        <v>38.709999000000003</v>
      </c>
      <c r="C335">
        <v>42.41</v>
      </c>
      <c r="D335">
        <v>38.25</v>
      </c>
      <c r="E335">
        <v>42.279998999999997</v>
      </c>
      <c r="F335">
        <v>40.867972999999999</v>
      </c>
      <c r="G335">
        <v>0</v>
      </c>
    </row>
    <row r="336" spans="1:7" x14ac:dyDescent="0.3">
      <c r="A336" s="1">
        <v>44866</v>
      </c>
      <c r="B336">
        <v>42.529998999999997</v>
      </c>
      <c r="C336">
        <v>44.759998000000003</v>
      </c>
      <c r="D336">
        <v>41.669998</v>
      </c>
      <c r="E336">
        <v>44.759998000000003</v>
      </c>
      <c r="F336">
        <v>43.265148000000003</v>
      </c>
      <c r="G336">
        <v>0</v>
      </c>
    </row>
    <row r="337" spans="1:7" x14ac:dyDescent="0.3">
      <c r="A337" s="1">
        <v>44896</v>
      </c>
      <c r="B337">
        <v>44.610000999999997</v>
      </c>
      <c r="C337">
        <v>44.610000999999997</v>
      </c>
      <c r="D337">
        <v>40.740001999999997</v>
      </c>
      <c r="E337">
        <v>41.5</v>
      </c>
      <c r="F337">
        <v>40.114024999999998</v>
      </c>
      <c r="G337">
        <v>0</v>
      </c>
    </row>
    <row r="338" spans="1:7" x14ac:dyDescent="0.3">
      <c r="A338" s="1">
        <v>44927</v>
      </c>
      <c r="B338">
        <v>41.349997999999999</v>
      </c>
      <c r="C338">
        <v>44.049999</v>
      </c>
      <c r="D338">
        <v>41.349997999999999</v>
      </c>
      <c r="E338">
        <v>44.049999</v>
      </c>
      <c r="F338">
        <v>43.804381999999997</v>
      </c>
      <c r="G338">
        <v>0</v>
      </c>
    </row>
    <row r="339" spans="1:7" x14ac:dyDescent="0.3">
      <c r="A339" s="1">
        <v>44958</v>
      </c>
      <c r="B339">
        <v>44.18</v>
      </c>
      <c r="C339">
        <v>44.25</v>
      </c>
      <c r="D339">
        <v>42.490001999999997</v>
      </c>
      <c r="E339">
        <v>42.490001999999997</v>
      </c>
      <c r="F339">
        <v>42.253086000000003</v>
      </c>
      <c r="G339">
        <v>0</v>
      </c>
    </row>
    <row r="340" spans="1:7" x14ac:dyDescent="0.3">
      <c r="A340" s="1">
        <v>44986</v>
      </c>
      <c r="B340">
        <v>42.549999</v>
      </c>
      <c r="C340">
        <v>43.290000999999997</v>
      </c>
      <c r="D340">
        <v>39.43</v>
      </c>
      <c r="E340">
        <v>41.459999000000003</v>
      </c>
      <c r="F340">
        <v>41.228825000000001</v>
      </c>
      <c r="G340">
        <v>0</v>
      </c>
    </row>
    <row r="341" spans="1:7" x14ac:dyDescent="0.3">
      <c r="A341" s="1">
        <v>45017</v>
      </c>
      <c r="B341">
        <v>41.889999000000003</v>
      </c>
      <c r="C341">
        <v>42.299999</v>
      </c>
      <c r="D341">
        <v>40.729999999999997</v>
      </c>
      <c r="E341">
        <v>41.919998</v>
      </c>
      <c r="F341">
        <v>41.919998</v>
      </c>
      <c r="G341">
        <v>0</v>
      </c>
    </row>
    <row r="342" spans="1:7" x14ac:dyDescent="0.3">
      <c r="A342" s="1">
        <v>45047</v>
      </c>
      <c r="B342">
        <v>41.869999</v>
      </c>
      <c r="C342">
        <v>41.869999</v>
      </c>
      <c r="D342">
        <v>39.93</v>
      </c>
      <c r="E342">
        <v>39.93</v>
      </c>
      <c r="F342">
        <v>39.93</v>
      </c>
      <c r="G342">
        <v>0</v>
      </c>
    </row>
    <row r="343" spans="1:7" x14ac:dyDescent="0.3">
      <c r="A343" s="1">
        <v>45078</v>
      </c>
      <c r="B343">
        <v>40.279998999999997</v>
      </c>
      <c r="C343">
        <v>42.540000999999997</v>
      </c>
      <c r="D343">
        <v>40.279998999999997</v>
      </c>
      <c r="E343">
        <v>42.540000999999997</v>
      </c>
      <c r="F343">
        <v>42.540000999999997</v>
      </c>
      <c r="G343">
        <v>0</v>
      </c>
    </row>
    <row r="344" spans="1:7" x14ac:dyDescent="0.3">
      <c r="A344" s="1">
        <v>45108</v>
      </c>
      <c r="B344">
        <v>42.720001000000003</v>
      </c>
      <c r="C344">
        <v>44.369999</v>
      </c>
      <c r="D344">
        <v>41.939999</v>
      </c>
      <c r="E344">
        <v>44.369999</v>
      </c>
      <c r="F344">
        <v>44.369999</v>
      </c>
      <c r="G344">
        <v>0</v>
      </c>
    </row>
    <row r="345" spans="1:7" x14ac:dyDescent="0.3">
      <c r="A345" s="1">
        <v>45139</v>
      </c>
      <c r="B345">
        <v>44.27</v>
      </c>
      <c r="C345">
        <v>44.27</v>
      </c>
      <c r="D345">
        <v>42.310001</v>
      </c>
      <c r="E345">
        <v>43.16</v>
      </c>
      <c r="F345">
        <v>43.16</v>
      </c>
      <c r="G345">
        <v>0</v>
      </c>
    </row>
    <row r="346" spans="1:7" x14ac:dyDescent="0.3">
      <c r="A346" s="1">
        <v>45170</v>
      </c>
      <c r="B346">
        <v>43.490001999999997</v>
      </c>
      <c r="C346">
        <v>43.490001999999997</v>
      </c>
      <c r="D346">
        <v>41.720001000000003</v>
      </c>
      <c r="E346">
        <v>41.720001000000003</v>
      </c>
      <c r="F346">
        <v>41.720001000000003</v>
      </c>
      <c r="G34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3A54-F2A4-F741-9EFD-CD7A8C925019}">
  <dimension ref="A1:G346"/>
  <sheetViews>
    <sheetView workbookViewId="0">
      <selection activeCell="A2" sqref="A2"/>
    </sheetView>
  </sheetViews>
  <sheetFormatPr defaultColWidth="11.19921875" defaultRowHeight="15.6" x14ac:dyDescent="0.3"/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 s="1">
        <v>34700</v>
      </c>
      <c r="B2">
        <v>19.329999999999998</v>
      </c>
      <c r="C2">
        <v>19.57</v>
      </c>
      <c r="D2">
        <v>17.829999999999998</v>
      </c>
      <c r="E2">
        <v>17.829999999999998</v>
      </c>
      <c r="F2">
        <v>7.7144000000000004</v>
      </c>
      <c r="G2">
        <v>0</v>
      </c>
    </row>
    <row r="3" spans="1:7" x14ac:dyDescent="0.3">
      <c r="A3" s="1">
        <v>34731</v>
      </c>
      <c r="B3">
        <v>17.940000999999999</v>
      </c>
      <c r="C3">
        <v>18.59</v>
      </c>
      <c r="D3">
        <v>17.829999999999998</v>
      </c>
      <c r="E3">
        <v>18.440000999999999</v>
      </c>
      <c r="F3">
        <v>7.9783229999999996</v>
      </c>
      <c r="G3">
        <v>0</v>
      </c>
    </row>
    <row r="4" spans="1:7" x14ac:dyDescent="0.3">
      <c r="A4" s="1">
        <v>34759</v>
      </c>
      <c r="B4">
        <v>17.950001</v>
      </c>
      <c r="C4">
        <v>21.27</v>
      </c>
      <c r="D4">
        <v>17.950001</v>
      </c>
      <c r="E4">
        <v>21.27</v>
      </c>
      <c r="F4">
        <v>9.2027640000000002</v>
      </c>
      <c r="G4">
        <v>0</v>
      </c>
    </row>
    <row r="5" spans="1:7" x14ac:dyDescent="0.3">
      <c r="A5" s="1">
        <v>34790</v>
      </c>
      <c r="B5">
        <v>21.280000999999999</v>
      </c>
      <c r="C5">
        <v>21.889999</v>
      </c>
      <c r="D5">
        <v>20.860001</v>
      </c>
      <c r="E5">
        <v>21.190000999999999</v>
      </c>
      <c r="F5">
        <v>9.1681530000000002</v>
      </c>
      <c r="G5">
        <v>0</v>
      </c>
    </row>
    <row r="6" spans="1:7" x14ac:dyDescent="0.3">
      <c r="A6" s="1">
        <v>34820</v>
      </c>
      <c r="B6">
        <v>21.360001</v>
      </c>
      <c r="C6">
        <v>21.73</v>
      </c>
      <c r="D6">
        <v>20.450001</v>
      </c>
      <c r="E6">
        <v>21.629999000000002</v>
      </c>
      <c r="F6">
        <v>9.3585229999999999</v>
      </c>
      <c r="G6">
        <v>0</v>
      </c>
    </row>
    <row r="7" spans="1:7" x14ac:dyDescent="0.3">
      <c r="A7" s="1">
        <v>34851</v>
      </c>
      <c r="B7">
        <v>21.709999</v>
      </c>
      <c r="C7">
        <v>23.08</v>
      </c>
      <c r="D7">
        <v>21.309999000000001</v>
      </c>
      <c r="E7">
        <v>21.93</v>
      </c>
      <c r="F7">
        <v>9.4883229999999994</v>
      </c>
      <c r="G7">
        <v>0</v>
      </c>
    </row>
    <row r="8" spans="1:7" x14ac:dyDescent="0.3">
      <c r="A8" s="1">
        <v>34881</v>
      </c>
      <c r="B8">
        <v>21.84</v>
      </c>
      <c r="C8">
        <v>23.6</v>
      </c>
      <c r="D8">
        <v>21.84</v>
      </c>
      <c r="E8">
        <v>22.52</v>
      </c>
      <c r="F8">
        <v>9.7435939999999999</v>
      </c>
      <c r="G8">
        <v>0</v>
      </c>
    </row>
    <row r="9" spans="1:7" x14ac:dyDescent="0.3">
      <c r="A9" s="1">
        <v>34912</v>
      </c>
      <c r="B9">
        <v>22.83</v>
      </c>
      <c r="C9">
        <v>23.469999000000001</v>
      </c>
      <c r="D9">
        <v>22.57</v>
      </c>
      <c r="E9">
        <v>22.57</v>
      </c>
      <c r="F9">
        <v>9.7652269999999994</v>
      </c>
      <c r="G9">
        <v>0</v>
      </c>
    </row>
    <row r="10" spans="1:7" x14ac:dyDescent="0.3">
      <c r="A10" s="1">
        <v>34943</v>
      </c>
      <c r="B10">
        <v>22.389999</v>
      </c>
      <c r="C10">
        <v>23.43</v>
      </c>
      <c r="D10">
        <v>22.34</v>
      </c>
      <c r="E10">
        <v>22.559999000000001</v>
      </c>
      <c r="F10">
        <v>9.7609030000000008</v>
      </c>
      <c r="G10">
        <v>0</v>
      </c>
    </row>
    <row r="11" spans="1:7" x14ac:dyDescent="0.3">
      <c r="A11" s="1">
        <v>34973</v>
      </c>
      <c r="B11">
        <v>22.370000999999998</v>
      </c>
      <c r="C11">
        <v>22.370000999999998</v>
      </c>
      <c r="D11">
        <v>19.579999999999998</v>
      </c>
      <c r="E11">
        <v>19.84</v>
      </c>
      <c r="F11">
        <v>8.5840569999999996</v>
      </c>
      <c r="G11">
        <v>0</v>
      </c>
    </row>
    <row r="12" spans="1:7" x14ac:dyDescent="0.3">
      <c r="A12" s="1">
        <v>35004</v>
      </c>
      <c r="B12">
        <v>19.799999</v>
      </c>
      <c r="C12">
        <v>21.940000999999999</v>
      </c>
      <c r="D12">
        <v>19.799999</v>
      </c>
      <c r="E12">
        <v>21.68</v>
      </c>
      <c r="F12">
        <v>9.3801570000000005</v>
      </c>
      <c r="G12">
        <v>0</v>
      </c>
    </row>
    <row r="13" spans="1:7" x14ac:dyDescent="0.3">
      <c r="A13" s="1">
        <v>35034</v>
      </c>
      <c r="B13">
        <v>21.610001</v>
      </c>
      <c r="C13">
        <v>22.450001</v>
      </c>
      <c r="D13">
        <v>21.610001</v>
      </c>
      <c r="E13">
        <v>22.139999</v>
      </c>
      <c r="F13">
        <v>9.5791830000000004</v>
      </c>
      <c r="G13">
        <v>0</v>
      </c>
    </row>
    <row r="14" spans="1:7" x14ac:dyDescent="0.3">
      <c r="A14" s="1">
        <v>35065</v>
      </c>
      <c r="B14">
        <v>22.889999</v>
      </c>
      <c r="C14">
        <v>26.1</v>
      </c>
      <c r="D14">
        <v>22.889999</v>
      </c>
      <c r="E14">
        <v>26.07</v>
      </c>
      <c r="F14">
        <v>11.279553</v>
      </c>
      <c r="G14">
        <v>0</v>
      </c>
    </row>
    <row r="15" spans="1:7" x14ac:dyDescent="0.3">
      <c r="A15" s="1">
        <v>35096</v>
      </c>
      <c r="B15">
        <v>27.15</v>
      </c>
      <c r="C15">
        <v>27.959999</v>
      </c>
      <c r="D15">
        <v>26.459999</v>
      </c>
      <c r="E15">
        <v>27.110001</v>
      </c>
      <c r="F15">
        <v>11.729525000000001</v>
      </c>
      <c r="G15">
        <v>0</v>
      </c>
    </row>
    <row r="16" spans="1:7" x14ac:dyDescent="0.3">
      <c r="A16" s="1">
        <v>35125</v>
      </c>
      <c r="B16">
        <v>27.139999</v>
      </c>
      <c r="C16">
        <v>28.43</v>
      </c>
      <c r="D16">
        <v>26.450001</v>
      </c>
      <c r="E16">
        <v>27.76</v>
      </c>
      <c r="F16">
        <v>12.010754</v>
      </c>
      <c r="G16">
        <v>0</v>
      </c>
    </row>
    <row r="17" spans="1:7" x14ac:dyDescent="0.3">
      <c r="A17" s="1">
        <v>35156</v>
      </c>
      <c r="B17">
        <v>27.68</v>
      </c>
      <c r="C17">
        <v>28.450001</v>
      </c>
      <c r="D17">
        <v>27.440000999999999</v>
      </c>
      <c r="E17">
        <v>28.42</v>
      </c>
      <c r="F17">
        <v>12.296314000000001</v>
      </c>
      <c r="G17">
        <v>0</v>
      </c>
    </row>
    <row r="18" spans="1:7" x14ac:dyDescent="0.3">
      <c r="A18" s="1">
        <v>35186</v>
      </c>
      <c r="B18">
        <v>28.610001</v>
      </c>
      <c r="C18">
        <v>31.52</v>
      </c>
      <c r="D18">
        <v>28.450001</v>
      </c>
      <c r="E18">
        <v>31.52</v>
      </c>
      <c r="F18">
        <v>13.63757</v>
      </c>
      <c r="G18">
        <v>0</v>
      </c>
    </row>
    <row r="19" spans="1:7" x14ac:dyDescent="0.3">
      <c r="A19" s="1">
        <v>35217</v>
      </c>
      <c r="B19">
        <v>31.24</v>
      </c>
      <c r="C19">
        <v>31.24</v>
      </c>
      <c r="D19">
        <v>27.030000999999999</v>
      </c>
      <c r="E19">
        <v>27.07</v>
      </c>
      <c r="F19">
        <v>11.712217000000001</v>
      </c>
      <c r="G19">
        <v>0</v>
      </c>
    </row>
    <row r="20" spans="1:7" x14ac:dyDescent="0.3">
      <c r="A20" s="1">
        <v>35247</v>
      </c>
      <c r="B20">
        <v>27.25</v>
      </c>
      <c r="C20">
        <v>27.66</v>
      </c>
      <c r="D20">
        <v>25.99</v>
      </c>
      <c r="E20">
        <v>26.57</v>
      </c>
      <c r="F20">
        <v>11.495884</v>
      </c>
      <c r="G20">
        <v>0</v>
      </c>
    </row>
    <row r="21" spans="1:7" x14ac:dyDescent="0.3">
      <c r="A21" s="1">
        <v>35278</v>
      </c>
      <c r="B21">
        <v>26.950001</v>
      </c>
      <c r="C21">
        <v>29.57</v>
      </c>
      <c r="D21">
        <v>26.950001</v>
      </c>
      <c r="E21">
        <v>29.280000999999999</v>
      </c>
      <c r="F21">
        <v>12.668402</v>
      </c>
      <c r="G21">
        <v>0</v>
      </c>
    </row>
    <row r="22" spans="1:7" x14ac:dyDescent="0.3">
      <c r="A22" s="1">
        <v>35309</v>
      </c>
      <c r="B22">
        <v>29.389999</v>
      </c>
      <c r="C22">
        <v>29.549999</v>
      </c>
      <c r="D22">
        <v>28.74</v>
      </c>
      <c r="E22">
        <v>28.74</v>
      </c>
      <c r="F22">
        <v>12.434767000000001</v>
      </c>
      <c r="G22">
        <v>0</v>
      </c>
    </row>
    <row r="23" spans="1:7" x14ac:dyDescent="0.3">
      <c r="A23" s="1">
        <v>35339</v>
      </c>
      <c r="B23">
        <v>28.959999</v>
      </c>
      <c r="C23">
        <v>29.15</v>
      </c>
      <c r="D23">
        <v>27.639999</v>
      </c>
      <c r="E23">
        <v>27.950001</v>
      </c>
      <c r="F23">
        <v>12.092961000000001</v>
      </c>
      <c r="G23">
        <v>0</v>
      </c>
    </row>
    <row r="24" spans="1:7" x14ac:dyDescent="0.3">
      <c r="A24" s="1">
        <v>35370</v>
      </c>
      <c r="B24">
        <v>27.799999</v>
      </c>
      <c r="C24">
        <v>29.49</v>
      </c>
      <c r="D24">
        <v>26.75</v>
      </c>
      <c r="E24">
        <v>26.75</v>
      </c>
      <c r="F24">
        <v>11.573764000000001</v>
      </c>
      <c r="G24">
        <v>0</v>
      </c>
    </row>
    <row r="25" spans="1:7" x14ac:dyDescent="0.3">
      <c r="A25" s="1">
        <v>35400</v>
      </c>
      <c r="B25">
        <v>25.83</v>
      </c>
      <c r="C25">
        <v>26.74</v>
      </c>
      <c r="D25">
        <v>25.24</v>
      </c>
      <c r="E25">
        <v>26.040001</v>
      </c>
      <c r="F25">
        <v>11.266572</v>
      </c>
      <c r="G25">
        <v>0</v>
      </c>
    </row>
    <row r="26" spans="1:7" x14ac:dyDescent="0.3">
      <c r="A26" s="1">
        <v>35431</v>
      </c>
      <c r="B26">
        <v>25.66</v>
      </c>
      <c r="C26">
        <v>26.129999000000002</v>
      </c>
      <c r="D26">
        <v>24.16</v>
      </c>
      <c r="E26">
        <v>24.93</v>
      </c>
      <c r="F26">
        <v>10.996578</v>
      </c>
      <c r="G26">
        <v>0</v>
      </c>
    </row>
    <row r="27" spans="1:7" x14ac:dyDescent="0.3">
      <c r="A27" s="1">
        <v>35462</v>
      </c>
      <c r="B27">
        <v>25.139999</v>
      </c>
      <c r="C27">
        <v>28.190000999999999</v>
      </c>
      <c r="D27">
        <v>24.65</v>
      </c>
      <c r="E27">
        <v>28.190000999999999</v>
      </c>
      <c r="F27">
        <v>12.434555</v>
      </c>
      <c r="G27">
        <v>0</v>
      </c>
    </row>
    <row r="28" spans="1:7" x14ac:dyDescent="0.3">
      <c r="A28" s="1">
        <v>35490</v>
      </c>
      <c r="B28">
        <v>27.77</v>
      </c>
      <c r="C28">
        <v>27.77</v>
      </c>
      <c r="D28">
        <v>23.73</v>
      </c>
      <c r="E28">
        <v>23.73</v>
      </c>
      <c r="F28">
        <v>10.467257</v>
      </c>
      <c r="G28">
        <v>0</v>
      </c>
    </row>
    <row r="29" spans="1:7" x14ac:dyDescent="0.3">
      <c r="A29" s="1">
        <v>35521</v>
      </c>
      <c r="B29">
        <v>23.84</v>
      </c>
      <c r="C29">
        <v>23.950001</v>
      </c>
      <c r="D29">
        <v>20.690000999999999</v>
      </c>
      <c r="E29">
        <v>21.09</v>
      </c>
      <c r="F29">
        <v>9.3027569999999997</v>
      </c>
      <c r="G29">
        <v>0</v>
      </c>
    </row>
    <row r="30" spans="1:7" x14ac:dyDescent="0.3">
      <c r="A30" s="1">
        <v>35551</v>
      </c>
      <c r="B30">
        <v>21.16</v>
      </c>
      <c r="C30">
        <v>22.85</v>
      </c>
      <c r="D30">
        <v>21.16</v>
      </c>
      <c r="E30">
        <v>22.299999</v>
      </c>
      <c r="F30">
        <v>10.398695999999999</v>
      </c>
      <c r="G30">
        <v>0</v>
      </c>
    </row>
    <row r="31" spans="1:7" x14ac:dyDescent="0.3">
      <c r="A31" s="1">
        <v>35582</v>
      </c>
      <c r="B31">
        <v>22.15</v>
      </c>
      <c r="C31">
        <v>22.17</v>
      </c>
      <c r="D31">
        <v>20.309999000000001</v>
      </c>
      <c r="E31">
        <v>20.389999</v>
      </c>
      <c r="F31">
        <v>9.5080460000000002</v>
      </c>
      <c r="G31">
        <v>0</v>
      </c>
    </row>
    <row r="32" spans="1:7" x14ac:dyDescent="0.3">
      <c r="A32" s="1">
        <v>35612</v>
      </c>
      <c r="B32">
        <v>20.52</v>
      </c>
      <c r="C32">
        <v>20.52</v>
      </c>
      <c r="D32">
        <v>18.27</v>
      </c>
      <c r="E32">
        <v>20.07</v>
      </c>
      <c r="F32">
        <v>9.3588290000000001</v>
      </c>
      <c r="G32">
        <v>0</v>
      </c>
    </row>
    <row r="33" spans="1:7" x14ac:dyDescent="0.3">
      <c r="A33" s="1">
        <v>35643</v>
      </c>
      <c r="B33">
        <v>20.170000000000002</v>
      </c>
      <c r="C33">
        <v>20.879999000000002</v>
      </c>
      <c r="D33">
        <v>19.870000999999998</v>
      </c>
      <c r="E33">
        <v>20.260000000000002</v>
      </c>
      <c r="F33">
        <v>9.4474230000000006</v>
      </c>
      <c r="G33">
        <v>0</v>
      </c>
    </row>
    <row r="34" spans="1:7" x14ac:dyDescent="0.3">
      <c r="A34" s="1">
        <v>35674</v>
      </c>
      <c r="B34">
        <v>20.239999999999998</v>
      </c>
      <c r="C34">
        <v>21.99</v>
      </c>
      <c r="D34">
        <v>19.120000999999998</v>
      </c>
      <c r="E34">
        <v>21.99</v>
      </c>
      <c r="F34">
        <v>10.254139</v>
      </c>
      <c r="G34">
        <v>0</v>
      </c>
    </row>
    <row r="35" spans="1:7" x14ac:dyDescent="0.3">
      <c r="A35" s="1">
        <v>35704</v>
      </c>
      <c r="B35">
        <v>22.030000999999999</v>
      </c>
      <c r="C35">
        <v>22.07</v>
      </c>
      <c r="D35">
        <v>17.899999999999999</v>
      </c>
      <c r="E35">
        <v>18.620000999999998</v>
      </c>
      <c r="F35">
        <v>8.6826790000000003</v>
      </c>
      <c r="G35">
        <v>0</v>
      </c>
    </row>
    <row r="36" spans="1:7" x14ac:dyDescent="0.3">
      <c r="A36" s="1">
        <v>35735</v>
      </c>
      <c r="B36">
        <v>18.790001</v>
      </c>
      <c r="C36">
        <v>18.790001</v>
      </c>
      <c r="D36">
        <v>14.23</v>
      </c>
      <c r="E36">
        <v>14.23</v>
      </c>
      <c r="F36">
        <v>6.63558</v>
      </c>
      <c r="G36">
        <v>0</v>
      </c>
    </row>
    <row r="37" spans="1:7" x14ac:dyDescent="0.3">
      <c r="A37" s="1">
        <v>35765</v>
      </c>
      <c r="B37">
        <v>14.15</v>
      </c>
      <c r="C37">
        <v>15.05</v>
      </c>
      <c r="D37">
        <v>12.91</v>
      </c>
      <c r="E37">
        <v>14.93</v>
      </c>
      <c r="F37">
        <v>6.9619980000000004</v>
      </c>
      <c r="G37">
        <v>0</v>
      </c>
    </row>
    <row r="38" spans="1:7" x14ac:dyDescent="0.3">
      <c r="A38" s="1">
        <v>35796</v>
      </c>
      <c r="B38">
        <v>15.1</v>
      </c>
      <c r="C38">
        <v>15.97</v>
      </c>
      <c r="D38">
        <v>12.55</v>
      </c>
      <c r="E38">
        <v>15.76</v>
      </c>
      <c r="F38">
        <v>7.3490349999999998</v>
      </c>
      <c r="G38">
        <v>0</v>
      </c>
    </row>
    <row r="39" spans="1:7" x14ac:dyDescent="0.3">
      <c r="A39" s="1">
        <v>35827</v>
      </c>
      <c r="B39">
        <v>15.62</v>
      </c>
      <c r="C39">
        <v>15.99</v>
      </c>
      <c r="D39">
        <v>14.32</v>
      </c>
      <c r="E39">
        <v>15.18</v>
      </c>
      <c r="F39">
        <v>7.0785749999999998</v>
      </c>
      <c r="G39">
        <v>0</v>
      </c>
    </row>
    <row r="40" spans="1:7" x14ac:dyDescent="0.3">
      <c r="A40" s="1">
        <v>35855</v>
      </c>
      <c r="B40">
        <v>15.34</v>
      </c>
      <c r="C40">
        <v>16.469999000000001</v>
      </c>
      <c r="D40">
        <v>14.52</v>
      </c>
      <c r="E40">
        <v>16.16</v>
      </c>
      <c r="F40">
        <v>7.5355590000000001</v>
      </c>
      <c r="G40">
        <v>0</v>
      </c>
    </row>
    <row r="41" spans="1:7" x14ac:dyDescent="0.3">
      <c r="A41" s="1">
        <v>35886</v>
      </c>
      <c r="B41">
        <v>16.200001</v>
      </c>
      <c r="C41">
        <v>18.120000999999998</v>
      </c>
      <c r="D41">
        <v>16.200001</v>
      </c>
      <c r="E41">
        <v>17.100000000000001</v>
      </c>
      <c r="F41">
        <v>7.9738889999999998</v>
      </c>
      <c r="G41">
        <v>0</v>
      </c>
    </row>
    <row r="42" spans="1:7" x14ac:dyDescent="0.3">
      <c r="A42" s="1">
        <v>35916</v>
      </c>
      <c r="B42">
        <v>16.899999999999999</v>
      </c>
      <c r="C42">
        <v>16.899999999999999</v>
      </c>
      <c r="D42">
        <v>14.69</v>
      </c>
      <c r="E42">
        <v>14.69</v>
      </c>
      <c r="F42">
        <v>6.8500829999999997</v>
      </c>
      <c r="G42">
        <v>0</v>
      </c>
    </row>
    <row r="43" spans="1:7" x14ac:dyDescent="0.3">
      <c r="A43" s="1">
        <v>35947</v>
      </c>
      <c r="B43">
        <v>14.08</v>
      </c>
      <c r="C43">
        <v>14.39</v>
      </c>
      <c r="D43">
        <v>12.49</v>
      </c>
      <c r="E43">
        <v>12.9</v>
      </c>
      <c r="F43">
        <v>6.0153889999999999</v>
      </c>
      <c r="G43">
        <v>0</v>
      </c>
    </row>
    <row r="44" spans="1:7" x14ac:dyDescent="0.3">
      <c r="A44" s="1">
        <v>35977</v>
      </c>
      <c r="B44">
        <v>12.95</v>
      </c>
      <c r="C44">
        <v>13.42</v>
      </c>
      <c r="D44">
        <v>11.95</v>
      </c>
      <c r="E44">
        <v>11.95</v>
      </c>
      <c r="F44">
        <v>5.5723950000000002</v>
      </c>
      <c r="G44">
        <v>0</v>
      </c>
    </row>
    <row r="45" spans="1:7" x14ac:dyDescent="0.3">
      <c r="A45" s="1">
        <v>36008</v>
      </c>
      <c r="B45">
        <v>11.77</v>
      </c>
      <c r="C45">
        <v>11.84</v>
      </c>
      <c r="D45">
        <v>8.82</v>
      </c>
      <c r="E45">
        <v>8.82</v>
      </c>
      <c r="F45">
        <v>4.1128470000000004</v>
      </c>
      <c r="G45">
        <v>0</v>
      </c>
    </row>
    <row r="46" spans="1:7" x14ac:dyDescent="0.3">
      <c r="A46" s="1">
        <v>36039</v>
      </c>
      <c r="B46">
        <v>9.26</v>
      </c>
      <c r="C46">
        <v>13.78</v>
      </c>
      <c r="D46">
        <v>9.26</v>
      </c>
      <c r="E46">
        <v>13.68</v>
      </c>
      <c r="F46">
        <v>6.3791099999999998</v>
      </c>
      <c r="G46">
        <v>0</v>
      </c>
    </row>
    <row r="47" spans="1:7" x14ac:dyDescent="0.3">
      <c r="A47" s="1">
        <v>36069</v>
      </c>
      <c r="B47">
        <v>14.13</v>
      </c>
      <c r="C47">
        <v>14.99</v>
      </c>
      <c r="D47">
        <v>12.59</v>
      </c>
      <c r="E47">
        <v>13.27</v>
      </c>
      <c r="F47">
        <v>6.1879220000000004</v>
      </c>
      <c r="G47">
        <v>0</v>
      </c>
    </row>
    <row r="48" spans="1:7" x14ac:dyDescent="0.3">
      <c r="A48" s="1">
        <v>36100</v>
      </c>
      <c r="B48">
        <v>13.25</v>
      </c>
      <c r="C48">
        <v>14.28</v>
      </c>
      <c r="D48">
        <v>12.99</v>
      </c>
      <c r="E48">
        <v>12.99</v>
      </c>
      <c r="F48">
        <v>6.0573560000000004</v>
      </c>
      <c r="G48">
        <v>0</v>
      </c>
    </row>
    <row r="49" spans="1:7" x14ac:dyDescent="0.3">
      <c r="A49" s="1">
        <v>36130</v>
      </c>
      <c r="B49">
        <v>12.98</v>
      </c>
      <c r="C49">
        <v>13.9</v>
      </c>
      <c r="D49">
        <v>12.38</v>
      </c>
      <c r="E49">
        <v>13.64</v>
      </c>
      <c r="F49">
        <v>6.3604589999999996</v>
      </c>
      <c r="G49">
        <v>0</v>
      </c>
    </row>
    <row r="50" spans="1:7" x14ac:dyDescent="0.3">
      <c r="A50" s="1">
        <v>36161</v>
      </c>
      <c r="B50">
        <v>13.7</v>
      </c>
      <c r="C50">
        <v>14.98</v>
      </c>
      <c r="D50">
        <v>13.19</v>
      </c>
      <c r="E50">
        <v>13.26</v>
      </c>
      <c r="F50">
        <v>6.1832609999999999</v>
      </c>
      <c r="G50">
        <v>0</v>
      </c>
    </row>
    <row r="51" spans="1:7" x14ac:dyDescent="0.3">
      <c r="A51" s="1">
        <v>36192</v>
      </c>
      <c r="B51">
        <v>13.59</v>
      </c>
      <c r="C51">
        <v>13.9</v>
      </c>
      <c r="D51">
        <v>12.79</v>
      </c>
      <c r="E51">
        <v>12.79</v>
      </c>
      <c r="F51">
        <v>5.9640969999999998</v>
      </c>
      <c r="G51">
        <v>0</v>
      </c>
    </row>
    <row r="52" spans="1:7" x14ac:dyDescent="0.3">
      <c r="A52" s="1">
        <v>36220</v>
      </c>
      <c r="B52">
        <v>12.83</v>
      </c>
      <c r="C52">
        <v>14.12</v>
      </c>
      <c r="D52">
        <v>12.49</v>
      </c>
      <c r="E52">
        <v>12.81</v>
      </c>
      <c r="F52">
        <v>5.9734210000000001</v>
      </c>
      <c r="G52">
        <v>0</v>
      </c>
    </row>
    <row r="53" spans="1:7" x14ac:dyDescent="0.3">
      <c r="A53" s="1">
        <v>36251</v>
      </c>
      <c r="B53">
        <v>12.81</v>
      </c>
      <c r="C53">
        <v>14.81</v>
      </c>
      <c r="D53">
        <v>12.47</v>
      </c>
      <c r="E53">
        <v>14.81</v>
      </c>
      <c r="F53">
        <v>6.9060389999999998</v>
      </c>
      <c r="G53">
        <v>0</v>
      </c>
    </row>
    <row r="54" spans="1:7" x14ac:dyDescent="0.3">
      <c r="A54" s="1">
        <v>36281</v>
      </c>
      <c r="B54">
        <v>15.15</v>
      </c>
      <c r="C54">
        <v>16.040001</v>
      </c>
      <c r="D54">
        <v>12.53</v>
      </c>
      <c r="E54">
        <v>12.53</v>
      </c>
      <c r="F54">
        <v>5.8428529999999999</v>
      </c>
      <c r="G54">
        <v>0</v>
      </c>
    </row>
    <row r="55" spans="1:7" x14ac:dyDescent="0.3">
      <c r="A55" s="1">
        <v>36312</v>
      </c>
      <c r="B55">
        <v>12.41</v>
      </c>
      <c r="C55">
        <v>13.13</v>
      </c>
      <c r="D55">
        <v>12.02</v>
      </c>
      <c r="E55">
        <v>13.13</v>
      </c>
      <c r="F55">
        <v>6.1226380000000002</v>
      </c>
      <c r="G55">
        <v>0</v>
      </c>
    </row>
    <row r="56" spans="1:7" x14ac:dyDescent="0.3">
      <c r="A56" s="1">
        <v>36342</v>
      </c>
      <c r="B56">
        <v>13.16</v>
      </c>
      <c r="C56">
        <v>13.4</v>
      </c>
      <c r="D56">
        <v>11.66</v>
      </c>
      <c r="E56">
        <v>12.35</v>
      </c>
      <c r="F56">
        <v>5.7589199999999998</v>
      </c>
      <c r="G56">
        <v>0</v>
      </c>
    </row>
    <row r="57" spans="1:7" x14ac:dyDescent="0.3">
      <c r="A57" s="1">
        <v>36373</v>
      </c>
      <c r="B57">
        <v>12.09</v>
      </c>
      <c r="C57">
        <v>13.68</v>
      </c>
      <c r="D57">
        <v>12.09</v>
      </c>
      <c r="E57">
        <v>12.89</v>
      </c>
      <c r="F57">
        <v>6.010726</v>
      </c>
      <c r="G57">
        <v>0</v>
      </c>
    </row>
    <row r="58" spans="1:7" x14ac:dyDescent="0.3">
      <c r="A58" s="1">
        <v>36404</v>
      </c>
      <c r="B58">
        <v>12.86</v>
      </c>
      <c r="C58">
        <v>17.079999999999998</v>
      </c>
      <c r="D58">
        <v>12.7</v>
      </c>
      <c r="E58">
        <v>16.23</v>
      </c>
      <c r="F58">
        <v>7.5682</v>
      </c>
      <c r="G58">
        <v>0</v>
      </c>
    </row>
    <row r="59" spans="1:7" x14ac:dyDescent="0.3">
      <c r="A59" s="1">
        <v>36434</v>
      </c>
      <c r="B59">
        <v>16.579999999999998</v>
      </c>
      <c r="C59">
        <v>17.670000000000002</v>
      </c>
      <c r="D59">
        <v>14.32</v>
      </c>
      <c r="E59">
        <v>14.86</v>
      </c>
      <c r="F59">
        <v>6.929354</v>
      </c>
      <c r="G59">
        <v>0</v>
      </c>
    </row>
    <row r="60" spans="1:7" x14ac:dyDescent="0.3">
      <c r="A60" s="1">
        <v>36465</v>
      </c>
      <c r="B60">
        <v>14.56</v>
      </c>
      <c r="C60">
        <v>15.04</v>
      </c>
      <c r="D60">
        <v>14.18</v>
      </c>
      <c r="E60">
        <v>14.27</v>
      </c>
      <c r="F60">
        <v>6.6542329999999996</v>
      </c>
      <c r="G60">
        <v>0</v>
      </c>
    </row>
    <row r="61" spans="1:7" x14ac:dyDescent="0.3">
      <c r="A61" s="1">
        <v>36495</v>
      </c>
      <c r="B61">
        <v>14.11</v>
      </c>
      <c r="C61">
        <v>14.79</v>
      </c>
      <c r="D61">
        <v>13.45</v>
      </c>
      <c r="E61">
        <v>14.78</v>
      </c>
      <c r="F61">
        <v>6.8920529999999998</v>
      </c>
      <c r="G61">
        <v>0</v>
      </c>
    </row>
    <row r="62" spans="1:7" x14ac:dyDescent="0.3">
      <c r="A62" s="1">
        <v>36526</v>
      </c>
      <c r="B62">
        <v>14.58</v>
      </c>
      <c r="C62">
        <v>14.58</v>
      </c>
      <c r="D62">
        <v>13.02</v>
      </c>
      <c r="E62">
        <v>13.02</v>
      </c>
      <c r="F62">
        <v>6.0713460000000001</v>
      </c>
      <c r="G62">
        <v>0</v>
      </c>
    </row>
    <row r="63" spans="1:7" x14ac:dyDescent="0.3">
      <c r="A63" s="1">
        <v>36557</v>
      </c>
      <c r="B63">
        <v>12.92</v>
      </c>
      <c r="C63">
        <v>14.96</v>
      </c>
      <c r="D63">
        <v>12.92</v>
      </c>
      <c r="E63">
        <v>13.45</v>
      </c>
      <c r="F63">
        <v>6.2718590000000001</v>
      </c>
      <c r="G63">
        <v>0</v>
      </c>
    </row>
    <row r="64" spans="1:7" x14ac:dyDescent="0.3">
      <c r="A64" s="1">
        <v>36586</v>
      </c>
      <c r="B64">
        <v>13.55</v>
      </c>
      <c r="C64">
        <v>13.55</v>
      </c>
      <c r="D64">
        <v>12.39</v>
      </c>
      <c r="E64">
        <v>12.48</v>
      </c>
      <c r="F64">
        <v>5.8195379999999997</v>
      </c>
      <c r="G64">
        <v>0</v>
      </c>
    </row>
    <row r="65" spans="1:7" x14ac:dyDescent="0.3">
      <c r="A65" s="1">
        <v>36617</v>
      </c>
      <c r="B65">
        <v>12.6</v>
      </c>
      <c r="C65">
        <v>12.8</v>
      </c>
      <c r="D65">
        <v>11.62</v>
      </c>
      <c r="E65">
        <v>11.62</v>
      </c>
      <c r="F65">
        <v>5.4185140000000001</v>
      </c>
      <c r="G65">
        <v>0</v>
      </c>
    </row>
    <row r="66" spans="1:7" x14ac:dyDescent="0.3">
      <c r="A66" s="1">
        <v>36647</v>
      </c>
      <c r="B66">
        <v>11.61</v>
      </c>
      <c r="C66">
        <v>12.79</v>
      </c>
      <c r="D66">
        <v>11.61</v>
      </c>
      <c r="E66">
        <v>11.84</v>
      </c>
      <c r="F66">
        <v>5.5343080000000002</v>
      </c>
      <c r="G66">
        <v>0</v>
      </c>
    </row>
    <row r="67" spans="1:7" x14ac:dyDescent="0.3">
      <c r="A67" s="1">
        <v>36678</v>
      </c>
      <c r="B67">
        <v>11.88</v>
      </c>
      <c r="C67">
        <v>12.95</v>
      </c>
      <c r="D67">
        <v>11.88</v>
      </c>
      <c r="E67">
        <v>12.71</v>
      </c>
      <c r="F67">
        <v>5.9409710000000002</v>
      </c>
      <c r="G67">
        <v>0</v>
      </c>
    </row>
    <row r="68" spans="1:7" x14ac:dyDescent="0.3">
      <c r="A68" s="1">
        <v>36708</v>
      </c>
      <c r="B68">
        <v>12.62</v>
      </c>
      <c r="C68">
        <v>12.62</v>
      </c>
      <c r="D68">
        <v>11.92</v>
      </c>
      <c r="E68">
        <v>11.92</v>
      </c>
      <c r="F68">
        <v>5.5717049999999997</v>
      </c>
      <c r="G68">
        <v>0</v>
      </c>
    </row>
    <row r="69" spans="1:7" x14ac:dyDescent="0.3">
      <c r="A69" s="1">
        <v>36739</v>
      </c>
      <c r="B69">
        <v>12.03</v>
      </c>
      <c r="C69">
        <v>12.65</v>
      </c>
      <c r="D69">
        <v>11.93</v>
      </c>
      <c r="E69">
        <v>12.47</v>
      </c>
      <c r="F69">
        <v>5.8287870000000002</v>
      </c>
      <c r="G69">
        <v>0</v>
      </c>
    </row>
    <row r="70" spans="1:7" x14ac:dyDescent="0.3">
      <c r="A70" s="1">
        <v>36770</v>
      </c>
      <c r="B70">
        <v>12.55</v>
      </c>
      <c r="C70">
        <v>12.55</v>
      </c>
      <c r="D70">
        <v>11.66</v>
      </c>
      <c r="E70">
        <v>11.74</v>
      </c>
      <c r="F70">
        <v>5.4875670000000003</v>
      </c>
      <c r="G70">
        <v>0</v>
      </c>
    </row>
    <row r="71" spans="1:7" x14ac:dyDescent="0.3">
      <c r="A71" s="1">
        <v>36800</v>
      </c>
      <c r="B71">
        <v>11.65</v>
      </c>
      <c r="C71">
        <v>11.65</v>
      </c>
      <c r="D71">
        <v>10.4</v>
      </c>
      <c r="E71">
        <v>10.45</v>
      </c>
      <c r="F71">
        <v>4.8845890000000001</v>
      </c>
      <c r="G71">
        <v>0</v>
      </c>
    </row>
    <row r="72" spans="1:7" x14ac:dyDescent="0.3">
      <c r="A72" s="1">
        <v>36831</v>
      </c>
      <c r="B72">
        <v>10.45</v>
      </c>
      <c r="C72">
        <v>11.04</v>
      </c>
      <c r="D72">
        <v>10.08</v>
      </c>
      <c r="E72">
        <v>10.88</v>
      </c>
      <c r="F72">
        <v>5.0855819999999996</v>
      </c>
      <c r="G72">
        <v>0</v>
      </c>
    </row>
    <row r="73" spans="1:7" x14ac:dyDescent="0.3">
      <c r="A73" s="1">
        <v>36861</v>
      </c>
      <c r="B73">
        <v>11.11</v>
      </c>
      <c r="C73">
        <v>12.06</v>
      </c>
      <c r="D73">
        <v>11.11</v>
      </c>
      <c r="E73">
        <v>12.04</v>
      </c>
      <c r="F73">
        <v>5.6277949999999999</v>
      </c>
      <c r="G73">
        <v>0</v>
      </c>
    </row>
    <row r="74" spans="1:7" x14ac:dyDescent="0.3">
      <c r="A74" s="1">
        <v>36892</v>
      </c>
      <c r="B74">
        <v>12.09</v>
      </c>
      <c r="C74">
        <v>12.09</v>
      </c>
      <c r="D74">
        <v>11.52</v>
      </c>
      <c r="E74">
        <v>11.93</v>
      </c>
      <c r="F74">
        <v>5.5958920000000001</v>
      </c>
      <c r="G74">
        <v>0</v>
      </c>
    </row>
    <row r="75" spans="1:7" x14ac:dyDescent="0.3">
      <c r="A75" s="1">
        <v>36923</v>
      </c>
      <c r="B75">
        <v>12.03</v>
      </c>
      <c r="C75">
        <v>12.64</v>
      </c>
      <c r="D75">
        <v>11.34</v>
      </c>
      <c r="E75">
        <v>12.38</v>
      </c>
      <c r="F75">
        <v>5.8069699999999997</v>
      </c>
      <c r="G75">
        <v>0</v>
      </c>
    </row>
    <row r="76" spans="1:7" x14ac:dyDescent="0.3">
      <c r="A76" s="1">
        <v>36951</v>
      </c>
      <c r="B76">
        <v>12.24</v>
      </c>
      <c r="C76">
        <v>12.7</v>
      </c>
      <c r="D76">
        <v>11.27</v>
      </c>
      <c r="E76">
        <v>11.27</v>
      </c>
      <c r="F76">
        <v>5.2863129999999998</v>
      </c>
      <c r="G76">
        <v>0</v>
      </c>
    </row>
    <row r="77" spans="1:7" x14ac:dyDescent="0.3">
      <c r="A77" s="1">
        <v>36982</v>
      </c>
      <c r="B77">
        <v>11.14</v>
      </c>
      <c r="C77">
        <v>12.94</v>
      </c>
      <c r="D77">
        <v>11.14</v>
      </c>
      <c r="E77">
        <v>12.94</v>
      </c>
      <c r="F77">
        <v>6.0696450000000004</v>
      </c>
      <c r="G77">
        <v>0</v>
      </c>
    </row>
    <row r="78" spans="1:7" x14ac:dyDescent="0.3">
      <c r="A78" s="1">
        <v>37012</v>
      </c>
      <c r="B78">
        <v>13.18</v>
      </c>
      <c r="C78">
        <v>15.26</v>
      </c>
      <c r="D78">
        <v>12.99</v>
      </c>
      <c r="E78">
        <v>13.57</v>
      </c>
      <c r="F78">
        <v>6.3976550000000003</v>
      </c>
      <c r="G78">
        <v>0</v>
      </c>
    </row>
    <row r="79" spans="1:7" x14ac:dyDescent="0.3">
      <c r="A79" s="1">
        <v>37043</v>
      </c>
      <c r="B79">
        <v>13.83</v>
      </c>
      <c r="C79">
        <v>14.31</v>
      </c>
      <c r="D79">
        <v>13.74</v>
      </c>
      <c r="E79">
        <v>13.93</v>
      </c>
      <c r="F79">
        <v>6.5673810000000001</v>
      </c>
      <c r="G79">
        <v>0</v>
      </c>
    </row>
    <row r="80" spans="1:7" x14ac:dyDescent="0.3">
      <c r="A80" s="1">
        <v>37073</v>
      </c>
      <c r="B80">
        <v>13.75</v>
      </c>
      <c r="C80">
        <v>13.79</v>
      </c>
      <c r="D80">
        <v>13.04</v>
      </c>
      <c r="E80">
        <v>13.14</v>
      </c>
      <c r="F80">
        <v>6.1949310000000004</v>
      </c>
      <c r="G80">
        <v>0</v>
      </c>
    </row>
    <row r="81" spans="1:7" x14ac:dyDescent="0.3">
      <c r="A81" s="1">
        <v>37104</v>
      </c>
      <c r="B81">
        <v>13.16</v>
      </c>
      <c r="C81">
        <v>14.02</v>
      </c>
      <c r="D81">
        <v>13.16</v>
      </c>
      <c r="E81">
        <v>13.88</v>
      </c>
      <c r="F81">
        <v>6.5438090000000004</v>
      </c>
      <c r="G81">
        <v>0</v>
      </c>
    </row>
    <row r="82" spans="1:7" x14ac:dyDescent="0.3">
      <c r="A82" s="1">
        <v>37135</v>
      </c>
      <c r="B82">
        <v>13.65</v>
      </c>
      <c r="C82">
        <v>14.44</v>
      </c>
      <c r="D82">
        <v>13.65</v>
      </c>
      <c r="E82">
        <v>14.11</v>
      </c>
      <c r="F82">
        <v>6.6522430000000004</v>
      </c>
      <c r="G82">
        <v>0</v>
      </c>
    </row>
    <row r="83" spans="1:7" x14ac:dyDescent="0.3">
      <c r="A83" s="1">
        <v>37165</v>
      </c>
      <c r="B83">
        <v>14.18</v>
      </c>
      <c r="C83">
        <v>14.29</v>
      </c>
      <c r="D83">
        <v>13.22</v>
      </c>
      <c r="E83">
        <v>13.84</v>
      </c>
      <c r="F83">
        <v>6.5249490000000003</v>
      </c>
      <c r="G83">
        <v>0</v>
      </c>
    </row>
    <row r="84" spans="1:7" x14ac:dyDescent="0.3">
      <c r="A84" s="1">
        <v>37196</v>
      </c>
      <c r="B84">
        <v>13.88</v>
      </c>
      <c r="C84">
        <v>14.22</v>
      </c>
      <c r="D84">
        <v>13.72</v>
      </c>
      <c r="E84">
        <v>14.16</v>
      </c>
      <c r="F84">
        <v>6.6758139999999999</v>
      </c>
      <c r="G84">
        <v>0</v>
      </c>
    </row>
    <row r="85" spans="1:7" x14ac:dyDescent="0.3">
      <c r="A85" s="1">
        <v>37226</v>
      </c>
      <c r="B85">
        <v>14.37</v>
      </c>
      <c r="C85">
        <v>14.81</v>
      </c>
      <c r="D85">
        <v>14.31</v>
      </c>
      <c r="E85">
        <v>14.81</v>
      </c>
      <c r="F85">
        <v>6.9822600000000001</v>
      </c>
      <c r="G85">
        <v>0</v>
      </c>
    </row>
    <row r="86" spans="1:7" x14ac:dyDescent="0.3">
      <c r="A86" s="1">
        <v>37257</v>
      </c>
      <c r="B86">
        <v>14.75</v>
      </c>
      <c r="C86">
        <v>16.68</v>
      </c>
      <c r="D86">
        <v>14.75</v>
      </c>
      <c r="E86">
        <v>16.68</v>
      </c>
      <c r="F86">
        <v>7.9512600000000004</v>
      </c>
      <c r="G86">
        <v>0</v>
      </c>
    </row>
    <row r="87" spans="1:7" x14ac:dyDescent="0.3">
      <c r="A87" s="1">
        <v>37288</v>
      </c>
      <c r="B87">
        <v>17.040001</v>
      </c>
      <c r="C87">
        <v>18.489999999999998</v>
      </c>
      <c r="D87">
        <v>17.040001</v>
      </c>
      <c r="E87">
        <v>18.25</v>
      </c>
      <c r="F87">
        <v>8.6996699999999993</v>
      </c>
      <c r="G87">
        <v>0</v>
      </c>
    </row>
    <row r="88" spans="1:7" x14ac:dyDescent="0.3">
      <c r="A88" s="1">
        <v>37316</v>
      </c>
      <c r="B88">
        <v>18.329999999999998</v>
      </c>
      <c r="C88">
        <v>20.129999000000002</v>
      </c>
      <c r="D88">
        <v>17.43</v>
      </c>
      <c r="E88">
        <v>20.100000000000001</v>
      </c>
      <c r="F88">
        <v>9.5815540000000006</v>
      </c>
      <c r="G88">
        <v>0</v>
      </c>
    </row>
    <row r="89" spans="1:7" x14ac:dyDescent="0.3">
      <c r="A89" s="1">
        <v>37347</v>
      </c>
      <c r="B89">
        <v>20.290001</v>
      </c>
      <c r="C89">
        <v>21.459999</v>
      </c>
      <c r="D89">
        <v>19.290001</v>
      </c>
      <c r="E89">
        <v>20.809999000000001</v>
      </c>
      <c r="F89">
        <v>9.9200049999999997</v>
      </c>
      <c r="G89">
        <v>0</v>
      </c>
    </row>
    <row r="90" spans="1:7" x14ac:dyDescent="0.3">
      <c r="A90" s="1">
        <v>37377</v>
      </c>
      <c r="B90">
        <v>21.030000999999999</v>
      </c>
      <c r="C90">
        <v>24.93</v>
      </c>
      <c r="D90">
        <v>21.02</v>
      </c>
      <c r="E90">
        <v>24.25</v>
      </c>
      <c r="F90">
        <v>11.653627</v>
      </c>
      <c r="G90">
        <v>0</v>
      </c>
    </row>
    <row r="91" spans="1:7" x14ac:dyDescent="0.3">
      <c r="A91" s="1">
        <v>37408</v>
      </c>
      <c r="B91">
        <v>24.73</v>
      </c>
      <c r="C91">
        <v>24.860001</v>
      </c>
      <c r="D91">
        <v>21.389999</v>
      </c>
      <c r="E91">
        <v>21.610001</v>
      </c>
      <c r="F91">
        <v>10.384945999999999</v>
      </c>
      <c r="G91">
        <v>0</v>
      </c>
    </row>
    <row r="92" spans="1:7" x14ac:dyDescent="0.3">
      <c r="A92" s="1">
        <v>37438</v>
      </c>
      <c r="B92">
        <v>22.01</v>
      </c>
      <c r="C92">
        <v>22.68</v>
      </c>
      <c r="D92">
        <v>16.350000000000001</v>
      </c>
      <c r="E92">
        <v>17.950001</v>
      </c>
      <c r="F92">
        <v>8.6260870000000001</v>
      </c>
      <c r="G92">
        <v>0</v>
      </c>
    </row>
    <row r="93" spans="1:7" x14ac:dyDescent="0.3">
      <c r="A93" s="1">
        <v>37469</v>
      </c>
      <c r="B93">
        <v>17.860001</v>
      </c>
      <c r="C93">
        <v>21.25</v>
      </c>
      <c r="D93">
        <v>17.860001</v>
      </c>
      <c r="E93">
        <v>21.190000999999999</v>
      </c>
      <c r="F93">
        <v>10.183109999999999</v>
      </c>
      <c r="G93">
        <v>0</v>
      </c>
    </row>
    <row r="94" spans="1:7" x14ac:dyDescent="0.3">
      <c r="A94" s="1">
        <v>37500</v>
      </c>
      <c r="B94">
        <v>21.559999000000001</v>
      </c>
      <c r="C94">
        <v>22.950001</v>
      </c>
      <c r="D94">
        <v>21.25</v>
      </c>
      <c r="E94">
        <v>21.690000999999999</v>
      </c>
      <c r="F94">
        <v>10.423389999999999</v>
      </c>
      <c r="G94">
        <v>0</v>
      </c>
    </row>
    <row r="95" spans="1:7" x14ac:dyDescent="0.3">
      <c r="A95" s="1">
        <v>37530</v>
      </c>
      <c r="B95">
        <v>21.16</v>
      </c>
      <c r="C95">
        <v>21.16</v>
      </c>
      <c r="D95">
        <v>18.889999</v>
      </c>
      <c r="E95">
        <v>19.420000000000002</v>
      </c>
      <c r="F95">
        <v>9.3325130000000005</v>
      </c>
      <c r="G95">
        <v>0</v>
      </c>
    </row>
    <row r="96" spans="1:7" x14ac:dyDescent="0.3">
      <c r="A96" s="1">
        <v>37561</v>
      </c>
      <c r="B96">
        <v>19.91</v>
      </c>
      <c r="C96">
        <v>21.030000999999999</v>
      </c>
      <c r="D96">
        <v>19.110001</v>
      </c>
      <c r="E96">
        <v>19.110001</v>
      </c>
      <c r="F96">
        <v>9.1835369999999994</v>
      </c>
      <c r="G96">
        <v>0</v>
      </c>
    </row>
    <row r="97" spans="1:7" x14ac:dyDescent="0.3">
      <c r="A97" s="1">
        <v>37591</v>
      </c>
      <c r="B97">
        <v>18.989999999999998</v>
      </c>
      <c r="C97">
        <v>24.34</v>
      </c>
      <c r="D97">
        <v>18.989999999999998</v>
      </c>
      <c r="E97">
        <v>23.92</v>
      </c>
      <c r="F97">
        <v>11.495042</v>
      </c>
      <c r="G97">
        <v>0</v>
      </c>
    </row>
    <row r="98" spans="1:7" x14ac:dyDescent="0.3">
      <c r="A98" s="1">
        <v>37622</v>
      </c>
      <c r="B98">
        <v>23.889999</v>
      </c>
      <c r="C98">
        <v>25.110001</v>
      </c>
      <c r="D98">
        <v>23.059999000000001</v>
      </c>
      <c r="E98">
        <v>23.950001</v>
      </c>
      <c r="F98">
        <v>11.613899</v>
      </c>
      <c r="G98">
        <v>0</v>
      </c>
    </row>
    <row r="99" spans="1:7" x14ac:dyDescent="0.3">
      <c r="A99" s="1">
        <v>37653</v>
      </c>
      <c r="B99">
        <v>23.790001</v>
      </c>
      <c r="C99">
        <v>24.77</v>
      </c>
      <c r="D99">
        <v>22.639999</v>
      </c>
      <c r="E99">
        <v>22.73</v>
      </c>
      <c r="F99">
        <v>11.022294</v>
      </c>
      <c r="G99">
        <v>0</v>
      </c>
    </row>
    <row r="100" spans="1:7" x14ac:dyDescent="0.3">
      <c r="A100" s="1">
        <v>37681</v>
      </c>
      <c r="B100">
        <v>22.15</v>
      </c>
      <c r="C100">
        <v>22.48</v>
      </c>
      <c r="D100">
        <v>19.209999</v>
      </c>
      <c r="E100">
        <v>20.459999</v>
      </c>
      <c r="F100">
        <v>9.921519</v>
      </c>
      <c r="G100">
        <v>0</v>
      </c>
    </row>
    <row r="101" spans="1:7" x14ac:dyDescent="0.3">
      <c r="A101" s="1">
        <v>37712</v>
      </c>
      <c r="B101">
        <v>19.91</v>
      </c>
      <c r="C101">
        <v>20.59</v>
      </c>
      <c r="D101">
        <v>18.950001</v>
      </c>
      <c r="E101">
        <v>19.870000999999998</v>
      </c>
      <c r="F101">
        <v>9.6354150000000001</v>
      </c>
      <c r="G101">
        <v>0</v>
      </c>
    </row>
    <row r="102" spans="1:7" x14ac:dyDescent="0.3">
      <c r="A102" s="1">
        <v>37742</v>
      </c>
      <c r="B102">
        <v>20.389999</v>
      </c>
      <c r="C102">
        <v>22.219999000000001</v>
      </c>
      <c r="D102">
        <v>20.389999</v>
      </c>
      <c r="E102">
        <v>22.1</v>
      </c>
      <c r="F102">
        <v>11.010712</v>
      </c>
      <c r="G102">
        <v>0</v>
      </c>
    </row>
    <row r="103" spans="1:7" x14ac:dyDescent="0.3">
      <c r="A103" s="1">
        <v>37773</v>
      </c>
      <c r="B103">
        <v>22.110001</v>
      </c>
      <c r="C103">
        <v>23.52</v>
      </c>
      <c r="D103">
        <v>21.98</v>
      </c>
      <c r="E103">
        <v>22.42</v>
      </c>
      <c r="F103">
        <v>11.170144000000001</v>
      </c>
      <c r="G103">
        <v>0</v>
      </c>
    </row>
    <row r="104" spans="1:7" x14ac:dyDescent="0.3">
      <c r="A104" s="1">
        <v>37803</v>
      </c>
      <c r="B104">
        <v>22.84</v>
      </c>
      <c r="C104">
        <v>24.110001</v>
      </c>
      <c r="D104">
        <v>21.4</v>
      </c>
      <c r="E104">
        <v>23.48</v>
      </c>
      <c r="F104">
        <v>11.698259</v>
      </c>
      <c r="G104">
        <v>0</v>
      </c>
    </row>
    <row r="105" spans="1:7" x14ac:dyDescent="0.3">
      <c r="A105" s="1">
        <v>37834</v>
      </c>
      <c r="B105">
        <v>23.35</v>
      </c>
      <c r="C105">
        <v>26.059999000000001</v>
      </c>
      <c r="D105">
        <v>23.35</v>
      </c>
      <c r="E105">
        <v>26.059999000000001</v>
      </c>
      <c r="F105">
        <v>12.983670999999999</v>
      </c>
      <c r="G105">
        <v>0</v>
      </c>
    </row>
    <row r="106" spans="1:7" x14ac:dyDescent="0.3">
      <c r="A106" s="1">
        <v>37865</v>
      </c>
      <c r="B106">
        <v>25.879999000000002</v>
      </c>
      <c r="C106">
        <v>27.889999</v>
      </c>
      <c r="D106">
        <v>25.879999000000002</v>
      </c>
      <c r="E106">
        <v>26.379999000000002</v>
      </c>
      <c r="F106">
        <v>13.143103999999999</v>
      </c>
      <c r="G106">
        <v>0</v>
      </c>
    </row>
    <row r="107" spans="1:7" x14ac:dyDescent="0.3">
      <c r="A107" s="1">
        <v>37895</v>
      </c>
      <c r="B107">
        <v>26.450001</v>
      </c>
      <c r="C107">
        <v>29.43</v>
      </c>
      <c r="D107">
        <v>25.93</v>
      </c>
      <c r="E107">
        <v>28.91</v>
      </c>
      <c r="F107">
        <v>14.403605000000001</v>
      </c>
      <c r="G107">
        <v>0</v>
      </c>
    </row>
    <row r="108" spans="1:7" x14ac:dyDescent="0.3">
      <c r="A108" s="1">
        <v>37926</v>
      </c>
      <c r="B108">
        <v>28.15</v>
      </c>
      <c r="C108">
        <v>31.51</v>
      </c>
      <c r="D108">
        <v>27.870000999999998</v>
      </c>
      <c r="E108">
        <v>31.51</v>
      </c>
      <c r="F108">
        <v>15.698985</v>
      </c>
      <c r="G108">
        <v>0</v>
      </c>
    </row>
    <row r="109" spans="1:7" x14ac:dyDescent="0.3">
      <c r="A109" s="1">
        <v>37956</v>
      </c>
      <c r="B109">
        <v>31.99</v>
      </c>
      <c r="C109">
        <v>32.169998</v>
      </c>
      <c r="D109">
        <v>27.809999000000001</v>
      </c>
      <c r="E109">
        <v>29.83</v>
      </c>
      <c r="F109">
        <v>14.861972</v>
      </c>
      <c r="G109">
        <v>0</v>
      </c>
    </row>
    <row r="110" spans="1:7" x14ac:dyDescent="0.3">
      <c r="A110" s="1">
        <v>37987</v>
      </c>
      <c r="B110">
        <v>30.110001</v>
      </c>
      <c r="C110">
        <v>31.219999000000001</v>
      </c>
      <c r="D110">
        <v>26.67</v>
      </c>
      <c r="E110">
        <v>27.129999000000002</v>
      </c>
      <c r="F110">
        <v>13.93844</v>
      </c>
      <c r="G110">
        <v>0</v>
      </c>
    </row>
    <row r="111" spans="1:7" x14ac:dyDescent="0.3">
      <c r="A111" s="1">
        <v>38018</v>
      </c>
      <c r="B111">
        <v>26.74</v>
      </c>
      <c r="C111">
        <v>29.719999000000001</v>
      </c>
      <c r="D111">
        <v>26.74</v>
      </c>
      <c r="E111">
        <v>27.209999</v>
      </c>
      <c r="F111">
        <v>13.97954</v>
      </c>
      <c r="G111">
        <v>0</v>
      </c>
    </row>
    <row r="112" spans="1:7" x14ac:dyDescent="0.3">
      <c r="A112" s="1">
        <v>38047</v>
      </c>
      <c r="B112">
        <v>27.82</v>
      </c>
      <c r="C112">
        <v>28.950001</v>
      </c>
      <c r="D112">
        <v>26.780000999999999</v>
      </c>
      <c r="E112">
        <v>28.950001</v>
      </c>
      <c r="F112">
        <v>14.873493</v>
      </c>
      <c r="G112">
        <v>0</v>
      </c>
    </row>
    <row r="113" spans="1:7" x14ac:dyDescent="0.3">
      <c r="A113" s="1">
        <v>38078</v>
      </c>
      <c r="B113">
        <v>29.129999000000002</v>
      </c>
      <c r="C113">
        <v>29.129999000000002</v>
      </c>
      <c r="D113">
        <v>22.139999</v>
      </c>
      <c r="E113">
        <v>22.299999</v>
      </c>
      <c r="F113">
        <v>11.456953</v>
      </c>
      <c r="G113">
        <v>0</v>
      </c>
    </row>
    <row r="114" spans="1:7" x14ac:dyDescent="0.3">
      <c r="A114" s="1">
        <v>38108</v>
      </c>
      <c r="B114">
        <v>21.950001</v>
      </c>
      <c r="C114">
        <v>24.200001</v>
      </c>
      <c r="D114">
        <v>21.139999</v>
      </c>
      <c r="E114">
        <v>24.15</v>
      </c>
      <c r="F114">
        <v>12.407419000000001</v>
      </c>
      <c r="G114">
        <v>0</v>
      </c>
    </row>
    <row r="115" spans="1:7" x14ac:dyDescent="0.3">
      <c r="A115" s="1">
        <v>38139</v>
      </c>
      <c r="B115">
        <v>23.92</v>
      </c>
      <c r="C115">
        <v>23.92</v>
      </c>
      <c r="D115">
        <v>21.690000999999999</v>
      </c>
      <c r="E115">
        <v>23.18</v>
      </c>
      <c r="F115">
        <v>11.909071000000001</v>
      </c>
      <c r="G115">
        <v>0</v>
      </c>
    </row>
    <row r="116" spans="1:7" x14ac:dyDescent="0.3">
      <c r="A116" s="1">
        <v>38169</v>
      </c>
      <c r="B116">
        <v>23.110001</v>
      </c>
      <c r="C116">
        <v>24.620000999999998</v>
      </c>
      <c r="D116">
        <v>21.969999000000001</v>
      </c>
      <c r="E116">
        <v>22.83</v>
      </c>
      <c r="F116">
        <v>11.729248999999999</v>
      </c>
      <c r="G116">
        <v>0</v>
      </c>
    </row>
    <row r="117" spans="1:7" x14ac:dyDescent="0.3">
      <c r="A117" s="1">
        <v>38200</v>
      </c>
      <c r="B117">
        <v>23.139999</v>
      </c>
      <c r="C117">
        <v>24.6</v>
      </c>
      <c r="D117">
        <v>22.139999</v>
      </c>
      <c r="E117">
        <v>24.459999</v>
      </c>
      <c r="F117">
        <v>12.566682999999999</v>
      </c>
      <c r="G117">
        <v>0</v>
      </c>
    </row>
    <row r="118" spans="1:7" x14ac:dyDescent="0.3">
      <c r="A118" s="1">
        <v>38231</v>
      </c>
      <c r="B118">
        <v>24.4</v>
      </c>
      <c r="C118">
        <v>26.690000999999999</v>
      </c>
      <c r="D118">
        <v>23.41</v>
      </c>
      <c r="E118">
        <v>26.690000999999999</v>
      </c>
      <c r="F118">
        <v>13.712382</v>
      </c>
      <c r="G118">
        <v>0</v>
      </c>
    </row>
    <row r="119" spans="1:7" x14ac:dyDescent="0.3">
      <c r="A119" s="1">
        <v>38261</v>
      </c>
      <c r="B119">
        <v>26.66</v>
      </c>
      <c r="C119">
        <v>28.030000999999999</v>
      </c>
      <c r="D119">
        <v>25.950001</v>
      </c>
      <c r="E119">
        <v>27.389999</v>
      </c>
      <c r="F119">
        <v>14.072020999999999</v>
      </c>
      <c r="G119">
        <v>0</v>
      </c>
    </row>
    <row r="120" spans="1:7" x14ac:dyDescent="0.3">
      <c r="A120" s="1">
        <v>38292</v>
      </c>
      <c r="B120">
        <v>26.85</v>
      </c>
      <c r="C120">
        <v>29.700001</v>
      </c>
      <c r="D120">
        <v>26.379999000000002</v>
      </c>
      <c r="E120">
        <v>28.370000999999998</v>
      </c>
      <c r="F120">
        <v>14.575507999999999</v>
      </c>
      <c r="G120">
        <v>0</v>
      </c>
    </row>
    <row r="121" spans="1:7" x14ac:dyDescent="0.3">
      <c r="A121" s="1">
        <v>38322</v>
      </c>
      <c r="B121">
        <v>28.24</v>
      </c>
      <c r="C121">
        <v>28.24</v>
      </c>
      <c r="D121">
        <v>26.049999</v>
      </c>
      <c r="E121">
        <v>26.91</v>
      </c>
      <c r="F121">
        <v>13.825411000000001</v>
      </c>
      <c r="G121">
        <v>0</v>
      </c>
    </row>
    <row r="122" spans="1:7" x14ac:dyDescent="0.3">
      <c r="A122" s="1">
        <v>38353</v>
      </c>
      <c r="B122">
        <v>26.120000999999998</v>
      </c>
      <c r="C122">
        <v>26.42</v>
      </c>
      <c r="D122">
        <v>25.379999000000002</v>
      </c>
      <c r="E122">
        <v>25.59</v>
      </c>
      <c r="F122">
        <v>13.147243</v>
      </c>
      <c r="G122">
        <v>0</v>
      </c>
    </row>
    <row r="123" spans="1:7" x14ac:dyDescent="0.3">
      <c r="A123" s="1">
        <v>38384</v>
      </c>
      <c r="B123">
        <v>25.84</v>
      </c>
      <c r="C123">
        <v>27.629999000000002</v>
      </c>
      <c r="D123">
        <v>25.01</v>
      </c>
      <c r="E123">
        <v>27.440000999999999</v>
      </c>
      <c r="F123">
        <v>14.097702</v>
      </c>
      <c r="G123">
        <v>0</v>
      </c>
    </row>
    <row r="124" spans="1:7" x14ac:dyDescent="0.3">
      <c r="A124" s="1">
        <v>38412</v>
      </c>
      <c r="B124">
        <v>26.93</v>
      </c>
      <c r="C124">
        <v>28.809999000000001</v>
      </c>
      <c r="D124">
        <v>25.51</v>
      </c>
      <c r="E124">
        <v>26.290001</v>
      </c>
      <c r="F124">
        <v>13.506879</v>
      </c>
      <c r="G124">
        <v>0</v>
      </c>
    </row>
    <row r="125" spans="1:7" x14ac:dyDescent="0.3">
      <c r="A125" s="1">
        <v>38443</v>
      </c>
      <c r="B125">
        <v>26.379999000000002</v>
      </c>
      <c r="C125">
        <v>26.379999000000002</v>
      </c>
      <c r="D125">
        <v>21.629999000000002</v>
      </c>
      <c r="E125">
        <v>21.92</v>
      </c>
      <c r="F125">
        <v>11.261723999999999</v>
      </c>
      <c r="G125">
        <v>0</v>
      </c>
    </row>
    <row r="126" spans="1:7" x14ac:dyDescent="0.3">
      <c r="A126" s="1">
        <v>38473</v>
      </c>
      <c r="B126">
        <v>21.709999</v>
      </c>
      <c r="C126">
        <v>22.48</v>
      </c>
      <c r="D126">
        <v>20.469999000000001</v>
      </c>
      <c r="E126">
        <v>22.360001</v>
      </c>
      <c r="F126">
        <v>12.164915000000001</v>
      </c>
      <c r="G126">
        <v>0</v>
      </c>
    </row>
    <row r="127" spans="1:7" x14ac:dyDescent="0.3">
      <c r="A127" s="1">
        <v>38504</v>
      </c>
      <c r="B127">
        <v>22.790001</v>
      </c>
      <c r="C127">
        <v>24.32</v>
      </c>
      <c r="D127">
        <v>22.459999</v>
      </c>
      <c r="E127">
        <v>24.23</v>
      </c>
      <c r="F127">
        <v>13.182287000000001</v>
      </c>
      <c r="G127">
        <v>0</v>
      </c>
    </row>
    <row r="128" spans="1:7" x14ac:dyDescent="0.3">
      <c r="A128" s="1">
        <v>38534</v>
      </c>
      <c r="B128">
        <v>24.209999</v>
      </c>
      <c r="C128">
        <v>24.9</v>
      </c>
      <c r="D128">
        <v>23.77</v>
      </c>
      <c r="E128">
        <v>24.18</v>
      </c>
      <c r="F128">
        <v>13.155080999999999</v>
      </c>
      <c r="G128">
        <v>0</v>
      </c>
    </row>
    <row r="129" spans="1:7" x14ac:dyDescent="0.3">
      <c r="A129" s="1">
        <v>38565</v>
      </c>
      <c r="B129">
        <v>24.299999</v>
      </c>
      <c r="C129">
        <v>26.43</v>
      </c>
      <c r="D129">
        <v>24.299999</v>
      </c>
      <c r="E129">
        <v>25.48</v>
      </c>
      <c r="F129">
        <v>13.862347</v>
      </c>
      <c r="G129">
        <v>0</v>
      </c>
    </row>
    <row r="130" spans="1:7" x14ac:dyDescent="0.3">
      <c r="A130" s="1">
        <v>38596</v>
      </c>
      <c r="B130">
        <v>26.530000999999999</v>
      </c>
      <c r="C130">
        <v>30.48</v>
      </c>
      <c r="D130">
        <v>26.51</v>
      </c>
      <c r="E130">
        <v>30.41</v>
      </c>
      <c r="F130">
        <v>16.544502000000001</v>
      </c>
      <c r="G130">
        <v>0</v>
      </c>
    </row>
    <row r="131" spans="1:7" x14ac:dyDescent="0.3">
      <c r="A131" s="1">
        <v>38626</v>
      </c>
      <c r="B131">
        <v>29.93</v>
      </c>
      <c r="C131">
        <v>29.99</v>
      </c>
      <c r="D131">
        <v>26.92</v>
      </c>
      <c r="E131">
        <v>28.690000999999999</v>
      </c>
      <c r="F131">
        <v>15.608739</v>
      </c>
      <c r="G131">
        <v>0</v>
      </c>
    </row>
    <row r="132" spans="1:7" x14ac:dyDescent="0.3">
      <c r="A132" s="1">
        <v>38657</v>
      </c>
      <c r="B132">
        <v>28.76</v>
      </c>
      <c r="C132">
        <v>33.389999000000003</v>
      </c>
      <c r="D132">
        <v>28.76</v>
      </c>
      <c r="E132">
        <v>32.790000999999997</v>
      </c>
      <c r="F132">
        <v>17.839338000000001</v>
      </c>
      <c r="G132">
        <v>0</v>
      </c>
    </row>
    <row r="133" spans="1:7" x14ac:dyDescent="0.3">
      <c r="A133" s="1">
        <v>38687</v>
      </c>
      <c r="B133">
        <v>33.450001</v>
      </c>
      <c r="C133">
        <v>34.650002000000001</v>
      </c>
      <c r="D133">
        <v>31.219999000000001</v>
      </c>
      <c r="E133">
        <v>33.240001999999997</v>
      </c>
      <c r="F133">
        <v>18.084157999999999</v>
      </c>
      <c r="G133">
        <v>0</v>
      </c>
    </row>
    <row r="134" spans="1:7" x14ac:dyDescent="0.3">
      <c r="A134" s="1">
        <v>38718</v>
      </c>
      <c r="B134">
        <v>34.659999999999997</v>
      </c>
      <c r="C134">
        <v>38.549999</v>
      </c>
      <c r="D134">
        <v>34.659999999999997</v>
      </c>
      <c r="E134">
        <v>38.549999</v>
      </c>
      <c r="F134">
        <v>22.547825</v>
      </c>
      <c r="G134">
        <v>0</v>
      </c>
    </row>
    <row r="135" spans="1:7" x14ac:dyDescent="0.3">
      <c r="A135" s="1">
        <v>38749</v>
      </c>
      <c r="B135">
        <v>38.490001999999997</v>
      </c>
      <c r="C135">
        <v>38.490001999999997</v>
      </c>
      <c r="D135">
        <v>34.860000999999997</v>
      </c>
      <c r="E135">
        <v>35.909999999999997</v>
      </c>
      <c r="F135">
        <v>21.003689000000001</v>
      </c>
      <c r="G135">
        <v>0</v>
      </c>
    </row>
    <row r="136" spans="1:7" x14ac:dyDescent="0.3">
      <c r="A136" s="1">
        <v>38777</v>
      </c>
      <c r="B136">
        <v>36.340000000000003</v>
      </c>
      <c r="C136">
        <v>39.080002</v>
      </c>
      <c r="D136">
        <v>35.090000000000003</v>
      </c>
      <c r="E136">
        <v>38.990001999999997</v>
      </c>
      <c r="F136">
        <v>22.805174000000001</v>
      </c>
      <c r="G136">
        <v>0</v>
      </c>
    </row>
    <row r="137" spans="1:7" x14ac:dyDescent="0.3">
      <c r="A137" s="1">
        <v>38808</v>
      </c>
      <c r="B137">
        <v>39.310001</v>
      </c>
      <c r="C137">
        <v>41.369999</v>
      </c>
      <c r="D137">
        <v>36.259998000000003</v>
      </c>
      <c r="E137">
        <v>38.610000999999997</v>
      </c>
      <c r="F137">
        <v>22.582916000000001</v>
      </c>
      <c r="G137">
        <v>0</v>
      </c>
    </row>
    <row r="138" spans="1:7" x14ac:dyDescent="0.3">
      <c r="A138" s="1">
        <v>38838</v>
      </c>
      <c r="B138">
        <v>38.82</v>
      </c>
      <c r="C138">
        <v>40.139999000000003</v>
      </c>
      <c r="D138">
        <v>33.720001000000003</v>
      </c>
      <c r="E138">
        <v>35.169998</v>
      </c>
      <c r="F138">
        <v>22.809346999999999</v>
      </c>
      <c r="G138">
        <v>0</v>
      </c>
    </row>
    <row r="139" spans="1:7" x14ac:dyDescent="0.3">
      <c r="A139" s="1">
        <v>38869</v>
      </c>
      <c r="B139">
        <v>35.040000999999997</v>
      </c>
      <c r="C139">
        <v>35.450001</v>
      </c>
      <c r="D139">
        <v>30.200001</v>
      </c>
      <c r="E139">
        <v>34.450001</v>
      </c>
      <c r="F139">
        <v>22.342396000000001</v>
      </c>
      <c r="G139">
        <v>0</v>
      </c>
    </row>
    <row r="140" spans="1:7" x14ac:dyDescent="0.3">
      <c r="A140" s="1">
        <v>38899</v>
      </c>
      <c r="B140">
        <v>35.490001999999997</v>
      </c>
      <c r="C140">
        <v>35.5</v>
      </c>
      <c r="D140">
        <v>32.560001</v>
      </c>
      <c r="E140">
        <v>34.459999000000003</v>
      </c>
      <c r="F140">
        <v>22.348875</v>
      </c>
      <c r="G140">
        <v>0</v>
      </c>
    </row>
    <row r="141" spans="1:7" x14ac:dyDescent="0.3">
      <c r="A141" s="1">
        <v>38930</v>
      </c>
      <c r="B141">
        <v>34.990001999999997</v>
      </c>
      <c r="C141">
        <v>35.889999000000003</v>
      </c>
      <c r="D141">
        <v>34.560001</v>
      </c>
      <c r="E141">
        <v>35.770000000000003</v>
      </c>
      <c r="F141">
        <v>23.198474999999998</v>
      </c>
      <c r="G141">
        <v>0</v>
      </c>
    </row>
    <row r="142" spans="1:7" x14ac:dyDescent="0.3">
      <c r="A142" s="1">
        <v>38961</v>
      </c>
      <c r="B142">
        <v>36.159999999999997</v>
      </c>
      <c r="C142">
        <v>37.25</v>
      </c>
      <c r="D142">
        <v>32.450001</v>
      </c>
      <c r="E142">
        <v>33.409999999999997</v>
      </c>
      <c r="F142">
        <v>21.667905999999999</v>
      </c>
      <c r="G142">
        <v>0</v>
      </c>
    </row>
    <row r="143" spans="1:7" x14ac:dyDescent="0.3">
      <c r="A143" s="1">
        <v>38991</v>
      </c>
      <c r="B143">
        <v>33.509998000000003</v>
      </c>
      <c r="C143">
        <v>34.659999999999997</v>
      </c>
      <c r="D143">
        <v>31.83</v>
      </c>
      <c r="E143">
        <v>34.659999999999997</v>
      </c>
      <c r="F143">
        <v>22.478586</v>
      </c>
      <c r="G143">
        <v>0</v>
      </c>
    </row>
    <row r="144" spans="1:7" x14ac:dyDescent="0.3">
      <c r="A144" s="1">
        <v>39022</v>
      </c>
      <c r="B144">
        <v>34.979999999999997</v>
      </c>
      <c r="C144">
        <v>38.669998</v>
      </c>
      <c r="D144">
        <v>34.909999999999997</v>
      </c>
      <c r="E144">
        <v>38.669998</v>
      </c>
      <c r="F144">
        <v>25.079256000000001</v>
      </c>
      <c r="G144">
        <v>0</v>
      </c>
    </row>
    <row r="145" spans="1:7" x14ac:dyDescent="0.3">
      <c r="A145" s="1">
        <v>39052</v>
      </c>
      <c r="B145">
        <v>38.43</v>
      </c>
      <c r="C145">
        <v>39</v>
      </c>
      <c r="D145">
        <v>35.549999</v>
      </c>
      <c r="E145">
        <v>36.5</v>
      </c>
      <c r="F145">
        <v>23.671907000000001</v>
      </c>
      <c r="G145">
        <v>0</v>
      </c>
    </row>
    <row r="146" spans="1:7" x14ac:dyDescent="0.3">
      <c r="A146" s="1">
        <v>39083</v>
      </c>
      <c r="B146">
        <v>35.709999000000003</v>
      </c>
      <c r="C146">
        <v>36.229999999999997</v>
      </c>
      <c r="D146">
        <v>33.909999999999997</v>
      </c>
      <c r="E146">
        <v>36.049999</v>
      </c>
      <c r="F146">
        <v>24.046633</v>
      </c>
      <c r="G146">
        <v>0</v>
      </c>
    </row>
    <row r="147" spans="1:7" x14ac:dyDescent="0.3">
      <c r="A147" s="1">
        <v>39114</v>
      </c>
      <c r="B147">
        <v>36.369999</v>
      </c>
      <c r="C147">
        <v>38.240001999999997</v>
      </c>
      <c r="D147">
        <v>36.029998999999997</v>
      </c>
      <c r="E147">
        <v>36.540000999999997</v>
      </c>
      <c r="F147">
        <v>24.373484000000001</v>
      </c>
      <c r="G147">
        <v>0</v>
      </c>
    </row>
    <row r="148" spans="1:7" x14ac:dyDescent="0.3">
      <c r="A148" s="1">
        <v>39142</v>
      </c>
      <c r="B148">
        <v>36.099997999999999</v>
      </c>
      <c r="C148">
        <v>36.540000999999997</v>
      </c>
      <c r="D148">
        <v>34</v>
      </c>
      <c r="E148">
        <v>36.380001</v>
      </c>
      <c r="F148">
        <v>24.266760000000001</v>
      </c>
      <c r="G148">
        <v>0</v>
      </c>
    </row>
    <row r="149" spans="1:7" x14ac:dyDescent="0.3">
      <c r="A149" s="1">
        <v>39173</v>
      </c>
      <c r="B149">
        <v>36.740001999999997</v>
      </c>
      <c r="C149">
        <v>37.869999</v>
      </c>
      <c r="D149">
        <v>34.659999999999997</v>
      </c>
      <c r="E149">
        <v>34.659999999999997</v>
      </c>
      <c r="F149">
        <v>23.119450000000001</v>
      </c>
      <c r="G149">
        <v>0</v>
      </c>
    </row>
    <row r="150" spans="1:7" x14ac:dyDescent="0.3">
      <c r="A150" s="1">
        <v>39203</v>
      </c>
      <c r="B150">
        <v>34.32</v>
      </c>
      <c r="C150">
        <v>35.509998000000003</v>
      </c>
      <c r="D150">
        <v>33.400002000000001</v>
      </c>
      <c r="E150">
        <v>34.330002</v>
      </c>
      <c r="F150">
        <v>24.020053999999998</v>
      </c>
      <c r="G150">
        <v>0</v>
      </c>
    </row>
    <row r="151" spans="1:7" x14ac:dyDescent="0.3">
      <c r="A151" s="1">
        <v>39234</v>
      </c>
      <c r="B151">
        <v>35.040000999999997</v>
      </c>
      <c r="C151">
        <v>35.18</v>
      </c>
      <c r="D151">
        <v>33.049999</v>
      </c>
      <c r="E151">
        <v>33.959999000000003</v>
      </c>
      <c r="F151">
        <v>23.761168999999999</v>
      </c>
      <c r="G151">
        <v>0</v>
      </c>
    </row>
    <row r="152" spans="1:7" x14ac:dyDescent="0.3">
      <c r="A152" s="1">
        <v>39264</v>
      </c>
      <c r="B152">
        <v>34.479999999999997</v>
      </c>
      <c r="C152">
        <v>38.090000000000003</v>
      </c>
      <c r="D152">
        <v>34.479999999999997</v>
      </c>
      <c r="E152">
        <v>35.860000999999997</v>
      </c>
      <c r="F152">
        <v>25.090561000000001</v>
      </c>
      <c r="G152">
        <v>0</v>
      </c>
    </row>
    <row r="153" spans="1:7" x14ac:dyDescent="0.3">
      <c r="A153" s="1">
        <v>39295</v>
      </c>
      <c r="B153">
        <v>35.310001</v>
      </c>
      <c r="C153">
        <v>36.520000000000003</v>
      </c>
      <c r="D153">
        <v>31.190000999999999</v>
      </c>
      <c r="E153">
        <v>34.060001</v>
      </c>
      <c r="F153">
        <v>23.831142</v>
      </c>
      <c r="G153">
        <v>0</v>
      </c>
    </row>
    <row r="154" spans="1:7" x14ac:dyDescent="0.3">
      <c r="A154" s="1">
        <v>39326</v>
      </c>
      <c r="B154">
        <v>34.810001</v>
      </c>
      <c r="C154">
        <v>42.43</v>
      </c>
      <c r="D154">
        <v>34.790000999999997</v>
      </c>
      <c r="E154">
        <v>42.43</v>
      </c>
      <c r="F154">
        <v>29.687474999999999</v>
      </c>
      <c r="G154">
        <v>0</v>
      </c>
    </row>
    <row r="155" spans="1:7" x14ac:dyDescent="0.3">
      <c r="A155" s="1">
        <v>39356</v>
      </c>
      <c r="B155">
        <v>43.34</v>
      </c>
      <c r="C155">
        <v>47.580002</v>
      </c>
      <c r="D155">
        <v>41.619999</v>
      </c>
      <c r="E155">
        <v>47.580002</v>
      </c>
      <c r="F155">
        <v>33.290824999999998</v>
      </c>
      <c r="G155">
        <v>0</v>
      </c>
    </row>
    <row r="156" spans="1:7" x14ac:dyDescent="0.3">
      <c r="A156" s="1">
        <v>39387</v>
      </c>
      <c r="B156">
        <v>46.200001</v>
      </c>
      <c r="C156">
        <v>48.389999000000003</v>
      </c>
      <c r="D156">
        <v>42.740001999999997</v>
      </c>
      <c r="E156">
        <v>43.43</v>
      </c>
      <c r="F156">
        <v>30.387152</v>
      </c>
      <c r="G156">
        <v>0</v>
      </c>
    </row>
    <row r="157" spans="1:7" x14ac:dyDescent="0.3">
      <c r="A157" s="1">
        <v>39417</v>
      </c>
      <c r="B157">
        <v>43.549999</v>
      </c>
      <c r="C157">
        <v>44.009998000000003</v>
      </c>
      <c r="D157">
        <v>36.450001</v>
      </c>
      <c r="E157">
        <v>39.880001</v>
      </c>
      <c r="F157">
        <v>27.903283999999999</v>
      </c>
      <c r="G157">
        <v>0</v>
      </c>
    </row>
    <row r="158" spans="1:7" x14ac:dyDescent="0.3">
      <c r="A158" s="1">
        <v>39448</v>
      </c>
      <c r="B158">
        <v>41.880001</v>
      </c>
      <c r="C158">
        <v>45.779998999999997</v>
      </c>
      <c r="D158">
        <v>41.290000999999997</v>
      </c>
      <c r="E158">
        <v>43.27</v>
      </c>
      <c r="F158">
        <v>32.946911</v>
      </c>
      <c r="G158">
        <v>0</v>
      </c>
    </row>
    <row r="159" spans="1:7" x14ac:dyDescent="0.3">
      <c r="A159" s="1">
        <v>39479</v>
      </c>
      <c r="B159">
        <v>43.130001</v>
      </c>
      <c r="C159">
        <v>47.290000999999997</v>
      </c>
      <c r="D159">
        <v>40.82</v>
      </c>
      <c r="E159">
        <v>46.369999</v>
      </c>
      <c r="F159">
        <v>35.307327000000001</v>
      </c>
      <c r="G159">
        <v>0</v>
      </c>
    </row>
    <row r="160" spans="1:7" x14ac:dyDescent="0.3">
      <c r="A160" s="1">
        <v>39508</v>
      </c>
      <c r="B160">
        <v>47.759998000000003</v>
      </c>
      <c r="C160">
        <v>47.950001</v>
      </c>
      <c r="D160">
        <v>40.669998</v>
      </c>
      <c r="E160">
        <v>41.830002</v>
      </c>
      <c r="F160">
        <v>31.850462</v>
      </c>
      <c r="G160">
        <v>0</v>
      </c>
    </row>
    <row r="161" spans="1:7" x14ac:dyDescent="0.3">
      <c r="A161" s="1">
        <v>39539</v>
      </c>
      <c r="B161">
        <v>40.770000000000003</v>
      </c>
      <c r="C161">
        <v>44.790000999999997</v>
      </c>
      <c r="D161">
        <v>37.619999</v>
      </c>
      <c r="E161">
        <v>38.729999999999997</v>
      </c>
      <c r="F161">
        <v>29.490034000000001</v>
      </c>
      <c r="G161">
        <v>0</v>
      </c>
    </row>
    <row r="162" spans="1:7" x14ac:dyDescent="0.3">
      <c r="A162" s="1">
        <v>39569</v>
      </c>
      <c r="B162">
        <v>38.119999</v>
      </c>
      <c r="C162">
        <v>43.759998000000003</v>
      </c>
      <c r="D162">
        <v>38.119999</v>
      </c>
      <c r="E162">
        <v>41.540000999999997</v>
      </c>
      <c r="F162">
        <v>31.754805000000001</v>
      </c>
      <c r="G162">
        <v>0</v>
      </c>
    </row>
    <row r="163" spans="1:7" x14ac:dyDescent="0.3">
      <c r="A163" s="1">
        <v>39600</v>
      </c>
      <c r="B163">
        <v>41.610000999999997</v>
      </c>
      <c r="C163">
        <v>43.52</v>
      </c>
      <c r="D163">
        <v>38.439999</v>
      </c>
      <c r="E163">
        <v>43.52</v>
      </c>
      <c r="F163">
        <v>33.268397999999998</v>
      </c>
      <c r="G163">
        <v>0</v>
      </c>
    </row>
    <row r="164" spans="1:7" x14ac:dyDescent="0.3">
      <c r="A164" s="1">
        <v>39630</v>
      </c>
      <c r="B164">
        <v>44.009998000000003</v>
      </c>
      <c r="C164">
        <v>45.049999</v>
      </c>
      <c r="D164">
        <v>38.689999</v>
      </c>
      <c r="E164">
        <v>38.689999</v>
      </c>
      <c r="F164">
        <v>29.576156999999998</v>
      </c>
      <c r="G164">
        <v>0</v>
      </c>
    </row>
    <row r="165" spans="1:7" x14ac:dyDescent="0.3">
      <c r="A165" s="1">
        <v>39661</v>
      </c>
      <c r="B165">
        <v>37.450001</v>
      </c>
      <c r="C165">
        <v>37.450001</v>
      </c>
      <c r="D165">
        <v>31.15</v>
      </c>
      <c r="E165">
        <v>33.900002000000001</v>
      </c>
      <c r="F165">
        <v>25.914491999999999</v>
      </c>
      <c r="G165">
        <v>0</v>
      </c>
    </row>
    <row r="166" spans="1:7" x14ac:dyDescent="0.3">
      <c r="A166" s="1">
        <v>39692</v>
      </c>
      <c r="B166">
        <v>31.41</v>
      </c>
      <c r="C166">
        <v>35.07</v>
      </c>
      <c r="D166">
        <v>25.58</v>
      </c>
      <c r="E166">
        <v>31.02</v>
      </c>
      <c r="F166">
        <v>23.712906</v>
      </c>
      <c r="G166">
        <v>0</v>
      </c>
    </row>
    <row r="167" spans="1:7" x14ac:dyDescent="0.3">
      <c r="A167" s="1">
        <v>39722</v>
      </c>
      <c r="B167">
        <v>31.43</v>
      </c>
      <c r="C167">
        <v>31.43</v>
      </c>
      <c r="D167">
        <v>15.87</v>
      </c>
      <c r="E167">
        <v>20.059999000000001</v>
      </c>
      <c r="F167">
        <v>15.334654</v>
      </c>
      <c r="G167">
        <v>0</v>
      </c>
    </row>
    <row r="168" spans="1:7" x14ac:dyDescent="0.3">
      <c r="A168" s="1">
        <v>39753</v>
      </c>
      <c r="B168">
        <v>20.389999</v>
      </c>
      <c r="C168">
        <v>24.870000999999998</v>
      </c>
      <c r="D168">
        <v>17.75</v>
      </c>
      <c r="E168">
        <v>24.870000999999998</v>
      </c>
      <c r="F168">
        <v>19.011603999999998</v>
      </c>
      <c r="G168">
        <v>0</v>
      </c>
    </row>
    <row r="169" spans="1:7" x14ac:dyDescent="0.3">
      <c r="A169" s="1">
        <v>39783</v>
      </c>
      <c r="B169">
        <v>22.459999</v>
      </c>
      <c r="C169">
        <v>31.58</v>
      </c>
      <c r="D169">
        <v>22.129999000000002</v>
      </c>
      <c r="E169">
        <v>31.58</v>
      </c>
      <c r="F169">
        <v>24.140993000000002</v>
      </c>
      <c r="G169">
        <v>0</v>
      </c>
    </row>
    <row r="170" spans="1:7" x14ac:dyDescent="0.3">
      <c r="A170" s="1">
        <v>39814</v>
      </c>
      <c r="B170">
        <v>31.440000999999999</v>
      </c>
      <c r="C170">
        <v>31.440000999999999</v>
      </c>
      <c r="D170">
        <v>26.85</v>
      </c>
      <c r="E170">
        <v>31.120000999999998</v>
      </c>
      <c r="F170">
        <v>23.789351</v>
      </c>
      <c r="G170">
        <v>0</v>
      </c>
    </row>
    <row r="171" spans="1:7" x14ac:dyDescent="0.3">
      <c r="A171" s="1">
        <v>39845</v>
      </c>
      <c r="B171">
        <v>30.27</v>
      </c>
      <c r="C171">
        <v>33.909999999999997</v>
      </c>
      <c r="D171">
        <v>30.27</v>
      </c>
      <c r="E171">
        <v>30.67</v>
      </c>
      <c r="F171">
        <v>23.445353000000001</v>
      </c>
      <c r="G171">
        <v>0</v>
      </c>
    </row>
    <row r="172" spans="1:7" x14ac:dyDescent="0.3">
      <c r="A172" s="1">
        <v>39873</v>
      </c>
      <c r="B172">
        <v>29.17</v>
      </c>
      <c r="C172">
        <v>35.07</v>
      </c>
      <c r="D172">
        <v>28.360001</v>
      </c>
      <c r="E172">
        <v>34.110000999999997</v>
      </c>
      <c r="F172">
        <v>26.075019999999999</v>
      </c>
      <c r="G172">
        <v>0</v>
      </c>
    </row>
    <row r="173" spans="1:7" x14ac:dyDescent="0.3">
      <c r="A173" s="1">
        <v>39904</v>
      </c>
      <c r="B173">
        <v>35.220001000000003</v>
      </c>
      <c r="C173">
        <v>35.220001000000003</v>
      </c>
      <c r="D173">
        <v>29.33</v>
      </c>
      <c r="E173">
        <v>31</v>
      </c>
      <c r="F173">
        <v>23.697617000000001</v>
      </c>
      <c r="G173">
        <v>0</v>
      </c>
    </row>
    <row r="174" spans="1:7" x14ac:dyDescent="0.3">
      <c r="A174" s="1">
        <v>39934</v>
      </c>
      <c r="B174">
        <v>31.120000999999998</v>
      </c>
      <c r="C174">
        <v>40.560001</v>
      </c>
      <c r="D174">
        <v>31.120000999999998</v>
      </c>
      <c r="E174">
        <v>40.560001</v>
      </c>
      <c r="F174">
        <v>31.005659000000001</v>
      </c>
      <c r="G174">
        <v>0</v>
      </c>
    </row>
    <row r="175" spans="1:7" x14ac:dyDescent="0.3">
      <c r="A175" s="1">
        <v>39965</v>
      </c>
      <c r="B175">
        <v>40.18</v>
      </c>
      <c r="C175">
        <v>41.07</v>
      </c>
      <c r="D175">
        <v>34.049999</v>
      </c>
      <c r="E175">
        <v>35.869999</v>
      </c>
      <c r="F175">
        <v>27.420432999999999</v>
      </c>
      <c r="G175">
        <v>0</v>
      </c>
    </row>
    <row r="176" spans="1:7" x14ac:dyDescent="0.3">
      <c r="A176" s="1">
        <v>39995</v>
      </c>
      <c r="B176">
        <v>36.909999999999997</v>
      </c>
      <c r="C176">
        <v>37.950001</v>
      </c>
      <c r="D176">
        <v>33.389999000000003</v>
      </c>
      <c r="E176">
        <v>37.639999000000003</v>
      </c>
      <c r="F176">
        <v>28.773491</v>
      </c>
      <c r="G176">
        <v>0</v>
      </c>
    </row>
    <row r="177" spans="1:7" x14ac:dyDescent="0.3">
      <c r="A177" s="1">
        <v>40026</v>
      </c>
      <c r="B177">
        <v>38.360000999999997</v>
      </c>
      <c r="C177">
        <v>38.689999</v>
      </c>
      <c r="D177">
        <v>35.310001</v>
      </c>
      <c r="E177">
        <v>37.290000999999997</v>
      </c>
      <c r="F177">
        <v>28.505939000000001</v>
      </c>
      <c r="G177">
        <v>0</v>
      </c>
    </row>
    <row r="178" spans="1:7" x14ac:dyDescent="0.3">
      <c r="A178" s="1">
        <v>40057</v>
      </c>
      <c r="B178">
        <v>36.520000000000003</v>
      </c>
      <c r="C178">
        <v>44.32</v>
      </c>
      <c r="D178">
        <v>36.520000000000003</v>
      </c>
      <c r="E178">
        <v>41.610000999999997</v>
      </c>
      <c r="F178">
        <v>31.808315</v>
      </c>
      <c r="G178">
        <v>0</v>
      </c>
    </row>
    <row r="179" spans="1:7" x14ac:dyDescent="0.3">
      <c r="A179" s="1">
        <v>40087</v>
      </c>
      <c r="B179">
        <v>39.869999</v>
      </c>
      <c r="C179">
        <v>45.610000999999997</v>
      </c>
      <c r="D179">
        <v>39.57</v>
      </c>
      <c r="E179">
        <v>39.790000999999997</v>
      </c>
      <c r="F179">
        <v>30.41703</v>
      </c>
      <c r="G179">
        <v>0</v>
      </c>
    </row>
    <row r="180" spans="1:7" x14ac:dyDescent="0.3">
      <c r="A180" s="1">
        <v>40118</v>
      </c>
      <c r="B180">
        <v>40.200001</v>
      </c>
      <c r="C180">
        <v>48.73</v>
      </c>
      <c r="D180">
        <v>40.200001</v>
      </c>
      <c r="E180">
        <v>47.029998999999997</v>
      </c>
      <c r="F180">
        <v>35.951571999999999</v>
      </c>
      <c r="G180">
        <v>0</v>
      </c>
    </row>
    <row r="181" spans="1:7" x14ac:dyDescent="0.3">
      <c r="A181" s="1">
        <v>40148</v>
      </c>
      <c r="B181">
        <v>49.240001999999997</v>
      </c>
      <c r="C181">
        <v>50.299999</v>
      </c>
      <c r="D181">
        <v>41.919998</v>
      </c>
      <c r="E181">
        <v>42.830002</v>
      </c>
      <c r="F181">
        <v>32.740935999999998</v>
      </c>
      <c r="G181">
        <v>0</v>
      </c>
    </row>
    <row r="182" spans="1:7" x14ac:dyDescent="0.3">
      <c r="A182" s="1">
        <v>40179</v>
      </c>
      <c r="B182">
        <v>44.310001</v>
      </c>
      <c r="C182">
        <v>46.400002000000001</v>
      </c>
      <c r="D182">
        <v>38.150002000000001</v>
      </c>
      <c r="E182">
        <v>38.150002000000001</v>
      </c>
      <c r="F182">
        <v>29.665306000000001</v>
      </c>
      <c r="G182">
        <v>0</v>
      </c>
    </row>
    <row r="183" spans="1:7" x14ac:dyDescent="0.3">
      <c r="A183" s="1">
        <v>40210</v>
      </c>
      <c r="B183">
        <v>39.959999000000003</v>
      </c>
      <c r="C183">
        <v>42.040000999999997</v>
      </c>
      <c r="D183">
        <v>37.779998999999997</v>
      </c>
      <c r="E183">
        <v>40.849997999999999</v>
      </c>
      <c r="F183">
        <v>31.764811000000002</v>
      </c>
      <c r="G183">
        <v>0</v>
      </c>
    </row>
    <row r="184" spans="1:7" x14ac:dyDescent="0.3">
      <c r="A184" s="1">
        <v>40238</v>
      </c>
      <c r="B184">
        <v>41.540000999999997</v>
      </c>
      <c r="C184">
        <v>43.189999</v>
      </c>
      <c r="D184">
        <v>40.270000000000003</v>
      </c>
      <c r="E184">
        <v>41.650002000000001</v>
      </c>
      <c r="F184">
        <v>32.386893999999998</v>
      </c>
      <c r="G184">
        <v>0</v>
      </c>
    </row>
    <row r="185" spans="1:7" x14ac:dyDescent="0.3">
      <c r="A185" s="1">
        <v>40269</v>
      </c>
      <c r="B185">
        <v>43.599997999999999</v>
      </c>
      <c r="C185">
        <v>46.43</v>
      </c>
      <c r="D185">
        <v>43.400002000000001</v>
      </c>
      <c r="E185">
        <v>46.43</v>
      </c>
      <c r="F185">
        <v>36.103802000000002</v>
      </c>
      <c r="G185">
        <v>0</v>
      </c>
    </row>
    <row r="186" spans="1:7" x14ac:dyDescent="0.3">
      <c r="A186" s="1">
        <v>40299</v>
      </c>
      <c r="B186">
        <v>45.880001</v>
      </c>
      <c r="C186">
        <v>48.68</v>
      </c>
      <c r="D186">
        <v>42.91</v>
      </c>
      <c r="E186">
        <v>45.32</v>
      </c>
      <c r="F186">
        <v>35.553566000000004</v>
      </c>
      <c r="G186">
        <v>0</v>
      </c>
    </row>
    <row r="187" spans="1:7" x14ac:dyDescent="0.3">
      <c r="A187" s="1">
        <v>40330</v>
      </c>
      <c r="B187">
        <v>45.369999</v>
      </c>
      <c r="C187">
        <v>49.200001</v>
      </c>
      <c r="D187">
        <v>44.450001</v>
      </c>
      <c r="E187">
        <v>47.189999</v>
      </c>
      <c r="F187">
        <v>37.020575999999998</v>
      </c>
      <c r="G187">
        <v>0</v>
      </c>
    </row>
    <row r="188" spans="1:7" x14ac:dyDescent="0.3">
      <c r="A188" s="1">
        <v>40360</v>
      </c>
      <c r="B188">
        <v>45.5</v>
      </c>
      <c r="C188">
        <v>46.139999000000003</v>
      </c>
      <c r="D188">
        <v>43.650002000000001</v>
      </c>
      <c r="E188">
        <v>44.630001</v>
      </c>
      <c r="F188">
        <v>35.012272000000003</v>
      </c>
      <c r="G188">
        <v>0</v>
      </c>
    </row>
    <row r="189" spans="1:7" x14ac:dyDescent="0.3">
      <c r="A189" s="1">
        <v>40391</v>
      </c>
      <c r="B189">
        <v>44.669998</v>
      </c>
      <c r="C189">
        <v>49.349997999999999</v>
      </c>
      <c r="D189">
        <v>44.669998</v>
      </c>
      <c r="E189">
        <v>49.349997999999999</v>
      </c>
      <c r="F189">
        <v>38.715107000000003</v>
      </c>
      <c r="G189">
        <v>0</v>
      </c>
    </row>
    <row r="190" spans="1:7" x14ac:dyDescent="0.3">
      <c r="A190" s="1">
        <v>40422</v>
      </c>
      <c r="B190">
        <v>49.209999000000003</v>
      </c>
      <c r="C190">
        <v>53.220001000000003</v>
      </c>
      <c r="D190">
        <v>49.209999000000003</v>
      </c>
      <c r="E190">
        <v>52.689999</v>
      </c>
      <c r="F190">
        <v>41.335330999999996</v>
      </c>
      <c r="G190">
        <v>0</v>
      </c>
    </row>
    <row r="191" spans="1:7" x14ac:dyDescent="0.3">
      <c r="A191" s="1">
        <v>40452</v>
      </c>
      <c r="B191">
        <v>53.150002000000001</v>
      </c>
      <c r="C191">
        <v>55.310001</v>
      </c>
      <c r="D191">
        <v>51.540000999999997</v>
      </c>
      <c r="E191">
        <v>53.709999000000003</v>
      </c>
      <c r="F191">
        <v>42.135528999999998</v>
      </c>
      <c r="G191">
        <v>0</v>
      </c>
    </row>
    <row r="192" spans="1:7" x14ac:dyDescent="0.3">
      <c r="A192" s="1">
        <v>40483</v>
      </c>
      <c r="B192">
        <v>53.84</v>
      </c>
      <c r="C192">
        <v>57.73</v>
      </c>
      <c r="D192">
        <v>53.84</v>
      </c>
      <c r="E192">
        <v>55.25</v>
      </c>
      <c r="F192">
        <v>43.343657999999998</v>
      </c>
      <c r="G192">
        <v>0</v>
      </c>
    </row>
    <row r="193" spans="1:7" x14ac:dyDescent="0.3">
      <c r="A193" s="1">
        <v>40513</v>
      </c>
      <c r="B193">
        <v>56.099997999999999</v>
      </c>
      <c r="C193">
        <v>58.900002000000001</v>
      </c>
      <c r="D193">
        <v>51.57</v>
      </c>
      <c r="E193">
        <v>53.110000999999997</v>
      </c>
      <c r="F193">
        <v>41.664825</v>
      </c>
      <c r="G193">
        <v>0</v>
      </c>
    </row>
    <row r="194" spans="1:7" x14ac:dyDescent="0.3">
      <c r="A194" s="1">
        <v>40544</v>
      </c>
      <c r="B194">
        <v>52.66</v>
      </c>
      <c r="C194">
        <v>52.66</v>
      </c>
      <c r="D194">
        <v>46.720001000000003</v>
      </c>
      <c r="E194">
        <v>47.060001</v>
      </c>
      <c r="F194">
        <v>39.914653999999999</v>
      </c>
      <c r="G194">
        <v>0</v>
      </c>
    </row>
    <row r="195" spans="1:7" x14ac:dyDescent="0.3">
      <c r="A195" s="1">
        <v>40575</v>
      </c>
      <c r="B195">
        <v>48.130001</v>
      </c>
      <c r="C195">
        <v>51.439999</v>
      </c>
      <c r="D195">
        <v>47.970001000000003</v>
      </c>
      <c r="E195">
        <v>51.439999</v>
      </c>
      <c r="F195">
        <v>43.629612000000002</v>
      </c>
      <c r="G195">
        <v>0</v>
      </c>
    </row>
    <row r="196" spans="1:7" x14ac:dyDescent="0.3">
      <c r="A196" s="1">
        <v>40603</v>
      </c>
      <c r="B196">
        <v>52.110000999999997</v>
      </c>
      <c r="C196">
        <v>52.369999</v>
      </c>
      <c r="D196">
        <v>47.419998</v>
      </c>
      <c r="E196">
        <v>52.099997999999999</v>
      </c>
      <c r="F196">
        <v>44.189399999999999</v>
      </c>
      <c r="G196">
        <v>0</v>
      </c>
    </row>
    <row r="197" spans="1:7" x14ac:dyDescent="0.3">
      <c r="A197" s="1">
        <v>40634</v>
      </c>
      <c r="B197">
        <v>51.900002000000001</v>
      </c>
      <c r="C197">
        <v>55.279998999999997</v>
      </c>
      <c r="D197">
        <v>51.119999</v>
      </c>
      <c r="E197">
        <v>52.689999</v>
      </c>
      <c r="F197">
        <v>44.689812000000003</v>
      </c>
      <c r="G197">
        <v>0</v>
      </c>
    </row>
    <row r="198" spans="1:7" x14ac:dyDescent="0.3">
      <c r="A198" s="1">
        <v>40664</v>
      </c>
      <c r="B198">
        <v>51.290000999999997</v>
      </c>
      <c r="C198">
        <v>51.290000999999997</v>
      </c>
      <c r="D198">
        <v>46.279998999999997</v>
      </c>
      <c r="E198">
        <v>49.360000999999997</v>
      </c>
      <c r="F198">
        <v>43.508110000000002</v>
      </c>
      <c r="G198">
        <v>0</v>
      </c>
    </row>
    <row r="199" spans="1:7" x14ac:dyDescent="0.3">
      <c r="A199" s="1">
        <v>40695</v>
      </c>
      <c r="B199">
        <v>48.529998999999997</v>
      </c>
      <c r="C199">
        <v>48.529998999999997</v>
      </c>
      <c r="D199">
        <v>44.470001000000003</v>
      </c>
      <c r="E199">
        <v>46.790000999999997</v>
      </c>
      <c r="F199">
        <v>41.242798000000001</v>
      </c>
      <c r="G199">
        <v>0</v>
      </c>
    </row>
    <row r="200" spans="1:7" x14ac:dyDescent="0.3">
      <c r="A200" s="1">
        <v>40725</v>
      </c>
      <c r="B200">
        <v>46.34</v>
      </c>
      <c r="C200">
        <v>51.5</v>
      </c>
      <c r="D200">
        <v>46.34</v>
      </c>
      <c r="E200">
        <v>48.970001000000003</v>
      </c>
      <c r="F200">
        <v>43.164352000000001</v>
      </c>
      <c r="G200">
        <v>0</v>
      </c>
    </row>
    <row r="201" spans="1:7" x14ac:dyDescent="0.3">
      <c r="A201" s="1">
        <v>40756</v>
      </c>
      <c r="B201">
        <v>49.209999000000003</v>
      </c>
      <c r="C201">
        <v>53.119999</v>
      </c>
      <c r="D201">
        <v>46.93</v>
      </c>
      <c r="E201">
        <v>52.740001999999997</v>
      </c>
      <c r="F201">
        <v>46.487400000000001</v>
      </c>
      <c r="G201">
        <v>0</v>
      </c>
    </row>
    <row r="202" spans="1:7" x14ac:dyDescent="0.3">
      <c r="A202" s="1">
        <v>40787</v>
      </c>
      <c r="B202">
        <v>53.049999</v>
      </c>
      <c r="C202">
        <v>55.360000999999997</v>
      </c>
      <c r="D202">
        <v>45.240001999999997</v>
      </c>
      <c r="E202">
        <v>45.52</v>
      </c>
      <c r="F202">
        <v>40.123375000000003</v>
      </c>
      <c r="G202">
        <v>0</v>
      </c>
    </row>
    <row r="203" spans="1:7" x14ac:dyDescent="0.3">
      <c r="A203" s="1">
        <v>40817</v>
      </c>
      <c r="B203">
        <v>44.799999</v>
      </c>
      <c r="C203">
        <v>50.16</v>
      </c>
      <c r="D203">
        <v>43.450001</v>
      </c>
      <c r="E203">
        <v>48.59</v>
      </c>
      <c r="F203">
        <v>42.829402999999999</v>
      </c>
      <c r="G203">
        <v>0</v>
      </c>
    </row>
    <row r="204" spans="1:7" x14ac:dyDescent="0.3">
      <c r="A204" s="1">
        <v>40848</v>
      </c>
      <c r="B204">
        <v>48.369999</v>
      </c>
      <c r="C204">
        <v>51.849997999999999</v>
      </c>
      <c r="D204">
        <v>45</v>
      </c>
      <c r="E204">
        <v>49.84</v>
      </c>
      <c r="F204">
        <v>43.931206000000003</v>
      </c>
      <c r="G204">
        <v>0</v>
      </c>
    </row>
    <row r="205" spans="1:7" x14ac:dyDescent="0.3">
      <c r="A205" s="1">
        <v>40878</v>
      </c>
      <c r="B205">
        <v>49.720001000000003</v>
      </c>
      <c r="C205">
        <v>49.720001000000003</v>
      </c>
      <c r="D205">
        <v>41.209999000000003</v>
      </c>
      <c r="E205">
        <v>42.23</v>
      </c>
      <c r="F205">
        <v>37.223415000000003</v>
      </c>
      <c r="G205">
        <v>0</v>
      </c>
    </row>
    <row r="206" spans="1:7" x14ac:dyDescent="0.3">
      <c r="A206" s="1">
        <v>40909</v>
      </c>
      <c r="B206">
        <v>44.080002</v>
      </c>
      <c r="C206">
        <v>47.389999000000003</v>
      </c>
      <c r="D206">
        <v>43.450001</v>
      </c>
      <c r="E206">
        <v>46.779998999999997</v>
      </c>
      <c r="F206">
        <v>41.745224</v>
      </c>
      <c r="G206">
        <v>0</v>
      </c>
    </row>
    <row r="207" spans="1:7" x14ac:dyDescent="0.3">
      <c r="A207" s="1">
        <v>40940</v>
      </c>
      <c r="B207">
        <v>46.889999000000003</v>
      </c>
      <c r="C207">
        <v>47.619999</v>
      </c>
      <c r="D207">
        <v>45</v>
      </c>
      <c r="E207">
        <v>45.959999000000003</v>
      </c>
      <c r="F207">
        <v>41.013474000000002</v>
      </c>
      <c r="G207">
        <v>0</v>
      </c>
    </row>
    <row r="208" spans="1:7" x14ac:dyDescent="0.3">
      <c r="A208" s="1">
        <v>40969</v>
      </c>
      <c r="B208">
        <v>46.110000999999997</v>
      </c>
      <c r="C208">
        <v>46.110000999999997</v>
      </c>
      <c r="D208">
        <v>40.200001</v>
      </c>
      <c r="E208">
        <v>40.770000000000003</v>
      </c>
      <c r="F208">
        <v>36.382061</v>
      </c>
      <c r="G208">
        <v>0</v>
      </c>
    </row>
    <row r="209" spans="1:7" x14ac:dyDescent="0.3">
      <c r="A209" s="1">
        <v>41000</v>
      </c>
      <c r="B209">
        <v>41.43</v>
      </c>
      <c r="C209">
        <v>41.43</v>
      </c>
      <c r="D209">
        <v>37.119999</v>
      </c>
      <c r="E209">
        <v>38.200001</v>
      </c>
      <c r="F209">
        <v>34.088661000000002</v>
      </c>
      <c r="G209">
        <v>0</v>
      </c>
    </row>
    <row r="210" spans="1:7" x14ac:dyDescent="0.3">
      <c r="A210" s="1">
        <v>41030</v>
      </c>
      <c r="B210">
        <v>38.310001</v>
      </c>
      <c r="C210">
        <v>38.310001</v>
      </c>
      <c r="D210">
        <v>32.240001999999997</v>
      </c>
      <c r="E210">
        <v>35.509998000000003</v>
      </c>
      <c r="F210">
        <v>31.688179000000002</v>
      </c>
      <c r="G210">
        <v>0</v>
      </c>
    </row>
    <row r="211" spans="1:7" x14ac:dyDescent="0.3">
      <c r="A211" s="1">
        <v>41061</v>
      </c>
      <c r="B211">
        <v>37.380001</v>
      </c>
      <c r="C211">
        <v>38.599997999999999</v>
      </c>
      <c r="D211">
        <v>34.639999000000003</v>
      </c>
      <c r="E211">
        <v>35.919998</v>
      </c>
      <c r="F211">
        <v>32.054049999999997</v>
      </c>
      <c r="G211">
        <v>0</v>
      </c>
    </row>
    <row r="212" spans="1:7" x14ac:dyDescent="0.3">
      <c r="A212" s="1">
        <v>41091</v>
      </c>
      <c r="B212">
        <v>36.009998000000003</v>
      </c>
      <c r="C212">
        <v>37.229999999999997</v>
      </c>
      <c r="D212">
        <v>32.919998</v>
      </c>
      <c r="E212">
        <v>34.939999</v>
      </c>
      <c r="F212">
        <v>31.179525000000002</v>
      </c>
      <c r="G212">
        <v>0</v>
      </c>
    </row>
    <row r="213" spans="1:7" x14ac:dyDescent="0.3">
      <c r="A213" s="1">
        <v>41122</v>
      </c>
      <c r="B213">
        <v>34.57</v>
      </c>
      <c r="C213">
        <v>38.619999</v>
      </c>
      <c r="D213">
        <v>34.340000000000003</v>
      </c>
      <c r="E213">
        <v>38.369999</v>
      </c>
      <c r="F213">
        <v>34.240364</v>
      </c>
      <c r="G213">
        <v>0</v>
      </c>
    </row>
    <row r="214" spans="1:7" x14ac:dyDescent="0.3">
      <c r="A214" s="1">
        <v>41153</v>
      </c>
      <c r="B214">
        <v>38.32</v>
      </c>
      <c r="C214">
        <v>44.060001</v>
      </c>
      <c r="D214">
        <v>38.32</v>
      </c>
      <c r="E214">
        <v>43.220001000000003</v>
      </c>
      <c r="F214">
        <v>38.568375000000003</v>
      </c>
      <c r="G214">
        <v>0</v>
      </c>
    </row>
    <row r="215" spans="1:7" x14ac:dyDescent="0.3">
      <c r="A215" s="1">
        <v>41183</v>
      </c>
      <c r="B215">
        <v>43.439999</v>
      </c>
      <c r="C215">
        <v>43.439999</v>
      </c>
      <c r="D215">
        <v>40.169998</v>
      </c>
      <c r="E215">
        <v>41.860000999999997</v>
      </c>
      <c r="F215">
        <v>37.354751999999998</v>
      </c>
      <c r="G215">
        <v>0</v>
      </c>
    </row>
    <row r="216" spans="1:7" x14ac:dyDescent="0.3">
      <c r="A216" s="1">
        <v>41214</v>
      </c>
      <c r="B216">
        <v>41.400002000000001</v>
      </c>
      <c r="C216">
        <v>41.400002000000001</v>
      </c>
      <c r="D216">
        <v>37.310001</v>
      </c>
      <c r="E216">
        <v>38.270000000000003</v>
      </c>
      <c r="F216">
        <v>34.151130999999999</v>
      </c>
      <c r="G216">
        <v>0</v>
      </c>
    </row>
    <row r="217" spans="1:7" x14ac:dyDescent="0.3">
      <c r="A217" s="1">
        <v>41244</v>
      </c>
      <c r="B217">
        <v>37.400002000000001</v>
      </c>
      <c r="C217">
        <v>37.82</v>
      </c>
      <c r="D217">
        <v>35.860000999999997</v>
      </c>
      <c r="E217">
        <v>36.979999999999997</v>
      </c>
      <c r="F217">
        <v>32.999966000000001</v>
      </c>
      <c r="G217">
        <v>0</v>
      </c>
    </row>
    <row r="218" spans="1:7" x14ac:dyDescent="0.3">
      <c r="A218" s="1">
        <v>41275</v>
      </c>
      <c r="B218">
        <v>37.709999000000003</v>
      </c>
      <c r="C218">
        <v>37.709999000000003</v>
      </c>
      <c r="D218">
        <v>34.169998</v>
      </c>
      <c r="E218">
        <v>34.169998</v>
      </c>
      <c r="F218">
        <v>30.492397</v>
      </c>
      <c r="G218">
        <v>0</v>
      </c>
    </row>
    <row r="219" spans="1:7" x14ac:dyDescent="0.3">
      <c r="A219" s="1">
        <v>41306</v>
      </c>
      <c r="B219">
        <v>34.650002000000001</v>
      </c>
      <c r="C219">
        <v>34.650002000000001</v>
      </c>
      <c r="D219">
        <v>30.6</v>
      </c>
      <c r="E219">
        <v>30.719999000000001</v>
      </c>
      <c r="F219">
        <v>27.413712</v>
      </c>
      <c r="G219">
        <v>0</v>
      </c>
    </row>
    <row r="220" spans="1:7" x14ac:dyDescent="0.3">
      <c r="A220" s="1">
        <v>41334</v>
      </c>
      <c r="B220">
        <v>30.32</v>
      </c>
      <c r="C220">
        <v>31.26</v>
      </c>
      <c r="D220">
        <v>29.5</v>
      </c>
      <c r="E220">
        <v>30.67</v>
      </c>
      <c r="F220">
        <v>27.369088999999999</v>
      </c>
      <c r="G220">
        <v>0</v>
      </c>
    </row>
    <row r="221" spans="1:7" x14ac:dyDescent="0.3">
      <c r="A221" s="1">
        <v>41365</v>
      </c>
      <c r="B221">
        <v>30.379999000000002</v>
      </c>
      <c r="C221">
        <v>30.379999000000002</v>
      </c>
      <c r="D221">
        <v>22.190000999999999</v>
      </c>
      <c r="E221">
        <v>24.889999</v>
      </c>
      <c r="F221">
        <v>22.211169999999999</v>
      </c>
      <c r="G221">
        <v>0</v>
      </c>
    </row>
    <row r="222" spans="1:7" x14ac:dyDescent="0.3">
      <c r="A222" s="1">
        <v>41395</v>
      </c>
      <c r="B222">
        <v>24.15</v>
      </c>
      <c r="C222">
        <v>24.93</v>
      </c>
      <c r="D222">
        <v>21.4</v>
      </c>
      <c r="E222">
        <v>23.99</v>
      </c>
      <c r="F222">
        <v>21.408038999999999</v>
      </c>
      <c r="G222">
        <v>0</v>
      </c>
    </row>
    <row r="223" spans="1:7" x14ac:dyDescent="0.3">
      <c r="A223" s="1">
        <v>41426</v>
      </c>
      <c r="B223">
        <v>24.68</v>
      </c>
      <c r="C223">
        <v>24.68</v>
      </c>
      <c r="D223">
        <v>17.59</v>
      </c>
      <c r="E223">
        <v>19.209999</v>
      </c>
      <c r="F223">
        <v>17.142492000000001</v>
      </c>
      <c r="G223">
        <v>0</v>
      </c>
    </row>
    <row r="224" spans="1:7" x14ac:dyDescent="0.3">
      <c r="A224" s="1">
        <v>41456</v>
      </c>
      <c r="B224">
        <v>19.489999999999998</v>
      </c>
      <c r="C224">
        <v>23.07</v>
      </c>
      <c r="D224">
        <v>18.309999000000001</v>
      </c>
      <c r="E224">
        <v>21.82</v>
      </c>
      <c r="F224">
        <v>19.471585999999999</v>
      </c>
      <c r="G224">
        <v>0</v>
      </c>
    </row>
    <row r="225" spans="1:7" x14ac:dyDescent="0.3">
      <c r="A225" s="1">
        <v>41487</v>
      </c>
      <c r="B225">
        <v>21.23</v>
      </c>
      <c r="C225">
        <v>25.25</v>
      </c>
      <c r="D225">
        <v>19.73</v>
      </c>
      <c r="E225">
        <v>23.59</v>
      </c>
      <c r="F225">
        <v>21.051086000000002</v>
      </c>
      <c r="G225">
        <v>0</v>
      </c>
    </row>
    <row r="226" spans="1:7" x14ac:dyDescent="0.3">
      <c r="A226" s="1">
        <v>41518</v>
      </c>
      <c r="B226">
        <v>23.85</v>
      </c>
      <c r="C226">
        <v>23.85</v>
      </c>
      <c r="D226">
        <v>21.32</v>
      </c>
      <c r="E226">
        <v>21.35</v>
      </c>
      <c r="F226">
        <v>19.05217</v>
      </c>
      <c r="G226">
        <v>0</v>
      </c>
    </row>
    <row r="227" spans="1:7" x14ac:dyDescent="0.3">
      <c r="A227" s="1">
        <v>41548</v>
      </c>
      <c r="B227">
        <v>20.75</v>
      </c>
      <c r="C227">
        <v>22.41</v>
      </c>
      <c r="D227">
        <v>19.600000000000001</v>
      </c>
      <c r="E227">
        <v>21.200001</v>
      </c>
      <c r="F227">
        <v>18.918312</v>
      </c>
      <c r="G227">
        <v>0</v>
      </c>
    </row>
    <row r="228" spans="1:7" x14ac:dyDescent="0.3">
      <c r="A228" s="1">
        <v>41579</v>
      </c>
      <c r="B228">
        <v>20.379999000000002</v>
      </c>
      <c r="C228">
        <v>20.85</v>
      </c>
      <c r="D228">
        <v>18.100000000000001</v>
      </c>
      <c r="E228">
        <v>18.579999999999998</v>
      </c>
      <c r="F228">
        <v>16.580297000000002</v>
      </c>
      <c r="G228">
        <v>0</v>
      </c>
    </row>
    <row r="229" spans="1:7" x14ac:dyDescent="0.3">
      <c r="A229" s="1">
        <v>41609</v>
      </c>
      <c r="B229">
        <v>17.639999</v>
      </c>
      <c r="C229">
        <v>18.329999999999998</v>
      </c>
      <c r="D229">
        <v>17.280000999999999</v>
      </c>
      <c r="E229">
        <v>17.969999000000001</v>
      </c>
      <c r="F229">
        <v>16.03595</v>
      </c>
      <c r="G229">
        <v>0</v>
      </c>
    </row>
    <row r="230" spans="1:7" x14ac:dyDescent="0.3">
      <c r="A230" s="1">
        <v>41640</v>
      </c>
      <c r="B230">
        <v>18.700001</v>
      </c>
      <c r="C230">
        <v>20.469999000000001</v>
      </c>
      <c r="D230">
        <v>18.139999</v>
      </c>
      <c r="E230">
        <v>20.079999999999998</v>
      </c>
      <c r="F230">
        <v>17.918856000000002</v>
      </c>
      <c r="G230">
        <v>0</v>
      </c>
    </row>
    <row r="231" spans="1:7" x14ac:dyDescent="0.3">
      <c r="A231" s="1">
        <v>41671</v>
      </c>
      <c r="B231">
        <v>20.110001</v>
      </c>
      <c r="C231">
        <v>23.15</v>
      </c>
      <c r="D231">
        <v>20.110001</v>
      </c>
      <c r="E231">
        <v>22.41</v>
      </c>
      <c r="F231">
        <v>19.998083000000001</v>
      </c>
      <c r="G231">
        <v>0</v>
      </c>
    </row>
    <row r="232" spans="1:7" x14ac:dyDescent="0.3">
      <c r="A232" s="1">
        <v>41699</v>
      </c>
      <c r="B232">
        <v>22.84</v>
      </c>
      <c r="C232">
        <v>23.959999</v>
      </c>
      <c r="D232">
        <v>20.559999000000001</v>
      </c>
      <c r="E232">
        <v>20.559999000000001</v>
      </c>
      <c r="F232">
        <v>18.347197999999999</v>
      </c>
      <c r="G232">
        <v>0</v>
      </c>
    </row>
    <row r="233" spans="1:7" x14ac:dyDescent="0.3">
      <c r="A233" s="1">
        <v>41730</v>
      </c>
      <c r="B233">
        <v>20.52</v>
      </c>
      <c r="C233">
        <v>21.74</v>
      </c>
      <c r="D233">
        <v>20.48</v>
      </c>
      <c r="E233">
        <v>21.129999000000002</v>
      </c>
      <c r="F233">
        <v>18.855848000000002</v>
      </c>
      <c r="G233">
        <v>0</v>
      </c>
    </row>
    <row r="234" spans="1:7" x14ac:dyDescent="0.3">
      <c r="A234" s="1">
        <v>41760</v>
      </c>
      <c r="B234">
        <v>20.93</v>
      </c>
      <c r="C234">
        <v>21.4</v>
      </c>
      <c r="D234">
        <v>19.600000000000001</v>
      </c>
      <c r="E234">
        <v>19.870000999999998</v>
      </c>
      <c r="F234">
        <v>17.731456999999999</v>
      </c>
      <c r="G234">
        <v>0</v>
      </c>
    </row>
    <row r="235" spans="1:7" x14ac:dyDescent="0.3">
      <c r="A235" s="1">
        <v>41791</v>
      </c>
      <c r="B235">
        <v>19.719999000000001</v>
      </c>
      <c r="C235">
        <v>23.48</v>
      </c>
      <c r="D235">
        <v>19.719999000000001</v>
      </c>
      <c r="E235">
        <v>23.48</v>
      </c>
      <c r="F235">
        <v>20.952925</v>
      </c>
      <c r="G235">
        <v>0</v>
      </c>
    </row>
    <row r="236" spans="1:7" x14ac:dyDescent="0.3">
      <c r="A236" s="1">
        <v>41821</v>
      </c>
      <c r="B236">
        <v>23.41</v>
      </c>
      <c r="C236">
        <v>24.280000999999999</v>
      </c>
      <c r="D236">
        <v>22.83</v>
      </c>
      <c r="E236">
        <v>22.83</v>
      </c>
      <c r="F236">
        <v>20.372881</v>
      </c>
      <c r="G236">
        <v>0</v>
      </c>
    </row>
    <row r="237" spans="1:7" x14ac:dyDescent="0.3">
      <c r="A237" s="1">
        <v>41852</v>
      </c>
      <c r="B237">
        <v>23.08</v>
      </c>
      <c r="C237">
        <v>23.889999</v>
      </c>
      <c r="D237">
        <v>22.48</v>
      </c>
      <c r="E237">
        <v>23.389999</v>
      </c>
      <c r="F237">
        <v>20.872612</v>
      </c>
      <c r="G237">
        <v>0</v>
      </c>
    </row>
    <row r="238" spans="1:7" x14ac:dyDescent="0.3">
      <c r="A238" s="1">
        <v>41883</v>
      </c>
      <c r="B238">
        <v>22.68</v>
      </c>
      <c r="C238">
        <v>22.68</v>
      </c>
      <c r="D238">
        <v>19.010000000000002</v>
      </c>
      <c r="E238">
        <v>19.010000000000002</v>
      </c>
      <c r="F238">
        <v>16.964022</v>
      </c>
      <c r="G238">
        <v>0</v>
      </c>
    </row>
    <row r="239" spans="1:7" x14ac:dyDescent="0.3">
      <c r="A239" s="1">
        <v>41913</v>
      </c>
      <c r="B239">
        <v>19.030000999999999</v>
      </c>
      <c r="C239">
        <v>19.540001</v>
      </c>
      <c r="D239">
        <v>15.61</v>
      </c>
      <c r="E239">
        <v>15.61</v>
      </c>
      <c r="F239">
        <v>13.929948</v>
      </c>
      <c r="G239">
        <v>0</v>
      </c>
    </row>
    <row r="240" spans="1:7" x14ac:dyDescent="0.3">
      <c r="A240" s="1">
        <v>41944</v>
      </c>
      <c r="B240">
        <v>15.9</v>
      </c>
      <c r="C240">
        <v>18.200001</v>
      </c>
      <c r="D240">
        <v>14.81</v>
      </c>
      <c r="E240">
        <v>16.389999</v>
      </c>
      <c r="F240">
        <v>14.625997999999999</v>
      </c>
      <c r="G240">
        <v>0</v>
      </c>
    </row>
    <row r="241" spans="1:7" x14ac:dyDescent="0.3">
      <c r="A241" s="1">
        <v>41974</v>
      </c>
      <c r="B241">
        <v>17.329999999999998</v>
      </c>
      <c r="C241">
        <v>17.52</v>
      </c>
      <c r="D241">
        <v>15.11</v>
      </c>
      <c r="E241">
        <v>16.440000999999999</v>
      </c>
      <c r="F241">
        <v>14.670619</v>
      </c>
      <c r="G241">
        <v>0</v>
      </c>
    </row>
    <row r="242" spans="1:7" x14ac:dyDescent="0.3">
      <c r="A242" s="1">
        <v>42005</v>
      </c>
      <c r="B242">
        <v>16.91</v>
      </c>
      <c r="C242">
        <v>20.280000999999999</v>
      </c>
      <c r="D242">
        <v>16.91</v>
      </c>
      <c r="E242">
        <v>19.239999999999998</v>
      </c>
      <c r="F242">
        <v>17.169262</v>
      </c>
      <c r="G242">
        <v>0</v>
      </c>
    </row>
    <row r="243" spans="1:7" x14ac:dyDescent="0.3">
      <c r="A243" s="1">
        <v>42036</v>
      </c>
      <c r="B243">
        <v>19.399999999999999</v>
      </c>
      <c r="C243">
        <v>19.510000000000002</v>
      </c>
      <c r="D243">
        <v>17.809999000000001</v>
      </c>
      <c r="E243">
        <v>18.5</v>
      </c>
      <c r="F243">
        <v>16.508904999999999</v>
      </c>
      <c r="G243">
        <v>0</v>
      </c>
    </row>
    <row r="244" spans="1:7" x14ac:dyDescent="0.3">
      <c r="A244" s="1">
        <v>42064</v>
      </c>
      <c r="B244">
        <v>18.110001</v>
      </c>
      <c r="C244">
        <v>18.110001</v>
      </c>
      <c r="D244">
        <v>15.63</v>
      </c>
      <c r="E244">
        <v>16.260000000000002</v>
      </c>
      <c r="F244">
        <v>14.509992</v>
      </c>
      <c r="G244">
        <v>0</v>
      </c>
    </row>
    <row r="245" spans="1:7" x14ac:dyDescent="0.3">
      <c r="A245" s="1">
        <v>42095</v>
      </c>
      <c r="B245">
        <v>16.98</v>
      </c>
      <c r="C245">
        <v>18.18</v>
      </c>
      <c r="D245">
        <v>16.73</v>
      </c>
      <c r="E245">
        <v>17.68</v>
      </c>
      <c r="F245">
        <v>15.777161</v>
      </c>
      <c r="G245">
        <v>0</v>
      </c>
    </row>
    <row r="246" spans="1:7" x14ac:dyDescent="0.3">
      <c r="A246" s="1">
        <v>42125</v>
      </c>
      <c r="B246">
        <v>17.709999</v>
      </c>
      <c r="C246">
        <v>18.399999999999999</v>
      </c>
      <c r="D246">
        <v>17.139999</v>
      </c>
      <c r="E246">
        <v>17.32</v>
      </c>
      <c r="F246">
        <v>15.455906000000001</v>
      </c>
      <c r="G246">
        <v>0</v>
      </c>
    </row>
    <row r="247" spans="1:7" x14ac:dyDescent="0.3">
      <c r="A247" s="1">
        <v>42156</v>
      </c>
      <c r="B247">
        <v>17.260000000000002</v>
      </c>
      <c r="C247">
        <v>17.549999</v>
      </c>
      <c r="D247">
        <v>16.139999</v>
      </c>
      <c r="E247">
        <v>16.139999</v>
      </c>
      <c r="F247">
        <v>14.402905000000001</v>
      </c>
      <c r="G247">
        <v>0</v>
      </c>
    </row>
    <row r="248" spans="1:7" x14ac:dyDescent="0.3">
      <c r="A248" s="1">
        <v>42186</v>
      </c>
      <c r="B248">
        <v>15.78</v>
      </c>
      <c r="C248">
        <v>16.219999000000001</v>
      </c>
      <c r="D248">
        <v>12.9</v>
      </c>
      <c r="E248">
        <v>13.34</v>
      </c>
      <c r="F248">
        <v>11.904261999999999</v>
      </c>
      <c r="G248">
        <v>0</v>
      </c>
    </row>
    <row r="249" spans="1:7" x14ac:dyDescent="0.3">
      <c r="A249" s="1">
        <v>42217</v>
      </c>
      <c r="B249">
        <v>12.94</v>
      </c>
      <c r="C249">
        <v>15.25</v>
      </c>
      <c r="D249">
        <v>12.81</v>
      </c>
      <c r="E249">
        <v>13.85</v>
      </c>
      <c r="F249">
        <v>12.359372</v>
      </c>
      <c r="G249">
        <v>0</v>
      </c>
    </row>
    <row r="250" spans="1:7" x14ac:dyDescent="0.3">
      <c r="A250" s="1">
        <v>42248</v>
      </c>
      <c r="B250">
        <v>13.59</v>
      </c>
      <c r="C250">
        <v>14.07</v>
      </c>
      <c r="D250">
        <v>12.92</v>
      </c>
      <c r="E250">
        <v>13.46</v>
      </c>
      <c r="F250">
        <v>12.011343999999999</v>
      </c>
      <c r="G250">
        <v>0</v>
      </c>
    </row>
    <row r="251" spans="1:7" x14ac:dyDescent="0.3">
      <c r="A251" s="1">
        <v>42278</v>
      </c>
      <c r="B251">
        <v>13.19</v>
      </c>
      <c r="C251">
        <v>16.209999</v>
      </c>
      <c r="D251">
        <v>13.19</v>
      </c>
      <c r="E251">
        <v>14.48</v>
      </c>
      <c r="F251">
        <v>12.921564999999999</v>
      </c>
      <c r="G251">
        <v>0</v>
      </c>
    </row>
    <row r="252" spans="1:7" x14ac:dyDescent="0.3">
      <c r="A252" s="1">
        <v>42309</v>
      </c>
      <c r="B252">
        <v>14.49</v>
      </c>
      <c r="C252">
        <v>14.49</v>
      </c>
      <c r="D252">
        <v>12.9</v>
      </c>
      <c r="E252">
        <v>13.29</v>
      </c>
      <c r="F252">
        <v>11.859641999999999</v>
      </c>
      <c r="G252">
        <v>0</v>
      </c>
    </row>
    <row r="253" spans="1:7" x14ac:dyDescent="0.3">
      <c r="A253" s="1">
        <v>42339</v>
      </c>
      <c r="B253">
        <v>13.61</v>
      </c>
      <c r="C253">
        <v>14.31</v>
      </c>
      <c r="D253">
        <v>13.03</v>
      </c>
      <c r="E253">
        <v>13.5</v>
      </c>
      <c r="F253">
        <v>12.047039</v>
      </c>
      <c r="G253">
        <v>0</v>
      </c>
    </row>
    <row r="254" spans="1:7" x14ac:dyDescent="0.3">
      <c r="A254" s="1">
        <v>42370</v>
      </c>
      <c r="B254">
        <v>13.81</v>
      </c>
      <c r="C254">
        <v>14.55</v>
      </c>
      <c r="D254">
        <v>12.46</v>
      </c>
      <c r="E254">
        <v>13.99</v>
      </c>
      <c r="F254">
        <v>12.484304</v>
      </c>
      <c r="G254">
        <v>0</v>
      </c>
    </row>
    <row r="255" spans="1:7" x14ac:dyDescent="0.3">
      <c r="A255" s="1">
        <v>42401</v>
      </c>
      <c r="B255">
        <v>14.36</v>
      </c>
      <c r="C255">
        <v>18.149999999999999</v>
      </c>
      <c r="D255">
        <v>14.13</v>
      </c>
      <c r="E255">
        <v>18.120000999999998</v>
      </c>
      <c r="F255">
        <v>16.169806999999999</v>
      </c>
      <c r="G255">
        <v>0</v>
      </c>
    </row>
    <row r="256" spans="1:7" x14ac:dyDescent="0.3">
      <c r="A256" s="1">
        <v>42430</v>
      </c>
      <c r="B256">
        <v>17.639999</v>
      </c>
      <c r="C256">
        <v>19.620000999999998</v>
      </c>
      <c r="D256">
        <v>17.639999</v>
      </c>
      <c r="E256">
        <v>19.040001</v>
      </c>
      <c r="F256">
        <v>16.990788999999999</v>
      </c>
      <c r="G256">
        <v>0</v>
      </c>
    </row>
    <row r="257" spans="1:7" x14ac:dyDescent="0.3">
      <c r="A257" s="1">
        <v>42461</v>
      </c>
      <c r="B257">
        <v>19.07</v>
      </c>
      <c r="C257">
        <v>23.290001</v>
      </c>
      <c r="D257">
        <v>18.690000999999999</v>
      </c>
      <c r="E257">
        <v>23.290001</v>
      </c>
      <c r="F257">
        <v>20.783377000000002</v>
      </c>
      <c r="G257">
        <v>0</v>
      </c>
    </row>
    <row r="258" spans="1:7" x14ac:dyDescent="0.3">
      <c r="A258" s="1">
        <v>42491</v>
      </c>
      <c r="B258">
        <v>23.08</v>
      </c>
      <c r="C258">
        <v>23.17</v>
      </c>
      <c r="D258">
        <v>20.440000999999999</v>
      </c>
      <c r="E258">
        <v>20.690000999999999</v>
      </c>
      <c r="F258">
        <v>18.677022999999998</v>
      </c>
      <c r="G258">
        <v>0</v>
      </c>
    </row>
    <row r="259" spans="1:7" x14ac:dyDescent="0.3">
      <c r="A259" s="1">
        <v>42522</v>
      </c>
      <c r="B259">
        <v>20.809999000000001</v>
      </c>
      <c r="C259">
        <v>25.51</v>
      </c>
      <c r="D259">
        <v>20.809999000000001</v>
      </c>
      <c r="E259">
        <v>25.51</v>
      </c>
      <c r="F259">
        <v>23.028072000000002</v>
      </c>
      <c r="G259">
        <v>0</v>
      </c>
    </row>
    <row r="260" spans="1:7" x14ac:dyDescent="0.3">
      <c r="A260" s="1">
        <v>42552</v>
      </c>
      <c r="B260">
        <v>26.469999000000001</v>
      </c>
      <c r="C260">
        <v>27.959999</v>
      </c>
      <c r="D260">
        <v>25.290001</v>
      </c>
      <c r="E260">
        <v>27.76</v>
      </c>
      <c r="F260">
        <v>25.059166000000001</v>
      </c>
      <c r="G260">
        <v>0</v>
      </c>
    </row>
    <row r="261" spans="1:7" x14ac:dyDescent="0.3">
      <c r="A261" s="1">
        <v>42583</v>
      </c>
      <c r="B261">
        <v>28.08</v>
      </c>
      <c r="C261">
        <v>28.32</v>
      </c>
      <c r="D261">
        <v>23.75</v>
      </c>
      <c r="E261">
        <v>23.75</v>
      </c>
      <c r="F261">
        <v>21.439309999999999</v>
      </c>
      <c r="G261">
        <v>0</v>
      </c>
    </row>
    <row r="262" spans="1:7" x14ac:dyDescent="0.3">
      <c r="A262" s="1">
        <v>42614</v>
      </c>
      <c r="B262">
        <v>24.530000999999999</v>
      </c>
      <c r="C262">
        <v>26.65</v>
      </c>
      <c r="D262">
        <v>24.139999</v>
      </c>
      <c r="E262">
        <v>24.540001</v>
      </c>
      <c r="F262">
        <v>22.152446999999999</v>
      </c>
      <c r="G262">
        <v>0</v>
      </c>
    </row>
    <row r="263" spans="1:7" x14ac:dyDescent="0.3">
      <c r="A263" s="1">
        <v>42644</v>
      </c>
      <c r="B263">
        <v>24.120000999999998</v>
      </c>
      <c r="C263">
        <v>24.120000999999998</v>
      </c>
      <c r="D263">
        <v>21.09</v>
      </c>
      <c r="E263">
        <v>22.75</v>
      </c>
      <c r="F263">
        <v>20.5366</v>
      </c>
      <c r="G263">
        <v>0</v>
      </c>
    </row>
    <row r="264" spans="1:7" x14ac:dyDescent="0.3">
      <c r="A264" s="1">
        <v>42675</v>
      </c>
      <c r="B264">
        <v>23.360001</v>
      </c>
      <c r="C264">
        <v>23.360001</v>
      </c>
      <c r="D264">
        <v>18.920000000000002</v>
      </c>
      <c r="E264">
        <v>19.209999</v>
      </c>
      <c r="F264">
        <v>17.341011000000002</v>
      </c>
      <c r="G264">
        <v>0</v>
      </c>
    </row>
    <row r="265" spans="1:7" x14ac:dyDescent="0.3">
      <c r="A265" s="1">
        <v>42705</v>
      </c>
      <c r="B265">
        <v>19.170000000000002</v>
      </c>
      <c r="C265">
        <v>19.989999999999998</v>
      </c>
      <c r="D265">
        <v>17.25</v>
      </c>
      <c r="E265">
        <v>19.16</v>
      </c>
      <c r="F265">
        <v>17.295878999999999</v>
      </c>
      <c r="G265">
        <v>0</v>
      </c>
    </row>
    <row r="266" spans="1:7" x14ac:dyDescent="0.3">
      <c r="A266" s="1">
        <v>42736</v>
      </c>
      <c r="B266">
        <v>19.809999000000001</v>
      </c>
      <c r="C266">
        <v>21.75</v>
      </c>
      <c r="D266">
        <v>19.809999000000001</v>
      </c>
      <c r="E266">
        <v>21.709999</v>
      </c>
      <c r="F266">
        <v>20.109324000000001</v>
      </c>
      <c r="G266">
        <v>0</v>
      </c>
    </row>
    <row r="267" spans="1:7" x14ac:dyDescent="0.3">
      <c r="A267" s="1">
        <v>42767</v>
      </c>
      <c r="B267">
        <v>21.790001</v>
      </c>
      <c r="C267">
        <v>23.389999</v>
      </c>
      <c r="D267">
        <v>21.02</v>
      </c>
      <c r="E267">
        <v>21.02</v>
      </c>
      <c r="F267">
        <v>19.470198</v>
      </c>
      <c r="G267">
        <v>0</v>
      </c>
    </row>
    <row r="268" spans="1:7" x14ac:dyDescent="0.3">
      <c r="A268" s="1">
        <v>42795</v>
      </c>
      <c r="B268">
        <v>21.24</v>
      </c>
      <c r="C268">
        <v>21.559999000000001</v>
      </c>
      <c r="D268">
        <v>19.440000999999999</v>
      </c>
      <c r="E268">
        <v>21.02</v>
      </c>
      <c r="F268">
        <v>19.470198</v>
      </c>
      <c r="G268">
        <v>0</v>
      </c>
    </row>
    <row r="269" spans="1:7" x14ac:dyDescent="0.3">
      <c r="A269" s="1">
        <v>42826</v>
      </c>
      <c r="B269">
        <v>21.32</v>
      </c>
      <c r="C269">
        <v>22.41</v>
      </c>
      <c r="D269">
        <v>19.780000999999999</v>
      </c>
      <c r="E269">
        <v>20.209999</v>
      </c>
      <c r="F269">
        <v>18.719919000000001</v>
      </c>
      <c r="G269">
        <v>0</v>
      </c>
    </row>
    <row r="270" spans="1:7" x14ac:dyDescent="0.3">
      <c r="A270" s="1">
        <v>42856</v>
      </c>
      <c r="B270">
        <v>19.670000000000002</v>
      </c>
      <c r="C270">
        <v>20.99</v>
      </c>
      <c r="D270">
        <v>19</v>
      </c>
      <c r="E270">
        <v>20.329999999999998</v>
      </c>
      <c r="F270">
        <v>18.870100000000001</v>
      </c>
      <c r="G270">
        <v>0</v>
      </c>
    </row>
    <row r="271" spans="1:7" x14ac:dyDescent="0.3">
      <c r="A271" s="1">
        <v>42887</v>
      </c>
      <c r="B271">
        <v>20.23</v>
      </c>
      <c r="C271">
        <v>21.459999</v>
      </c>
      <c r="D271">
        <v>19.899999999999999</v>
      </c>
      <c r="E271">
        <v>20.25</v>
      </c>
      <c r="F271">
        <v>18.795849</v>
      </c>
      <c r="G271">
        <v>0</v>
      </c>
    </row>
    <row r="272" spans="1:7" x14ac:dyDescent="0.3">
      <c r="A272" s="1">
        <v>42917</v>
      </c>
      <c r="B272">
        <v>19.850000000000001</v>
      </c>
      <c r="C272">
        <v>20.790001</v>
      </c>
      <c r="D272">
        <v>19.309999000000001</v>
      </c>
      <c r="E272">
        <v>20.68</v>
      </c>
      <c r="F272">
        <v>19.194970999999999</v>
      </c>
      <c r="G272">
        <v>0</v>
      </c>
    </row>
    <row r="273" spans="1:7" x14ac:dyDescent="0.3">
      <c r="A273" s="1">
        <v>42948</v>
      </c>
      <c r="B273">
        <v>20.57</v>
      </c>
      <c r="C273">
        <v>22.16</v>
      </c>
      <c r="D273">
        <v>20</v>
      </c>
      <c r="E273">
        <v>22.16</v>
      </c>
      <c r="F273">
        <v>20.568688999999999</v>
      </c>
      <c r="G273">
        <v>0</v>
      </c>
    </row>
    <row r="274" spans="1:7" x14ac:dyDescent="0.3">
      <c r="A274" s="1">
        <v>42979</v>
      </c>
      <c r="B274">
        <v>22.280000999999999</v>
      </c>
      <c r="C274">
        <v>22.870000999999998</v>
      </c>
      <c r="D274">
        <v>20.75</v>
      </c>
      <c r="E274">
        <v>20.75</v>
      </c>
      <c r="F274">
        <v>19.259943</v>
      </c>
      <c r="G274">
        <v>0</v>
      </c>
    </row>
    <row r="275" spans="1:7" x14ac:dyDescent="0.3">
      <c r="A275" s="1">
        <v>43009</v>
      </c>
      <c r="B275">
        <v>20.83</v>
      </c>
      <c r="C275">
        <v>21.58</v>
      </c>
      <c r="D275">
        <v>19.899999999999999</v>
      </c>
      <c r="E275">
        <v>20.049999</v>
      </c>
      <c r="F275">
        <v>18.610209000000001</v>
      </c>
      <c r="G275">
        <v>0</v>
      </c>
    </row>
    <row r="276" spans="1:7" x14ac:dyDescent="0.3">
      <c r="A276" s="1">
        <v>43040</v>
      </c>
      <c r="B276">
        <v>20.040001</v>
      </c>
      <c r="C276">
        <v>20.350000000000001</v>
      </c>
      <c r="D276">
        <v>19.719999000000001</v>
      </c>
      <c r="E276">
        <v>19.719999000000001</v>
      </c>
      <c r="F276">
        <v>18.303905</v>
      </c>
      <c r="G276">
        <v>0</v>
      </c>
    </row>
    <row r="277" spans="1:7" x14ac:dyDescent="0.3">
      <c r="A277" s="1">
        <v>43070</v>
      </c>
      <c r="B277">
        <v>19.760000000000002</v>
      </c>
      <c r="C277">
        <v>20.790001</v>
      </c>
      <c r="D277">
        <v>18.950001</v>
      </c>
      <c r="E277">
        <v>20.77</v>
      </c>
      <c r="F277">
        <v>19.278509</v>
      </c>
      <c r="G277">
        <v>0</v>
      </c>
    </row>
    <row r="278" spans="1:7" x14ac:dyDescent="0.3">
      <c r="A278" s="1">
        <v>43101</v>
      </c>
      <c r="B278">
        <v>21.129999000000002</v>
      </c>
      <c r="C278">
        <v>21.889999</v>
      </c>
      <c r="D278">
        <v>20.48</v>
      </c>
      <c r="E278">
        <v>20.950001</v>
      </c>
      <c r="F278">
        <v>19.445582999999999</v>
      </c>
      <c r="G278">
        <v>0</v>
      </c>
    </row>
    <row r="279" spans="1:7" x14ac:dyDescent="0.3">
      <c r="A279" s="1">
        <v>43132</v>
      </c>
      <c r="B279">
        <v>20.940000999999999</v>
      </c>
      <c r="C279">
        <v>20.940000999999999</v>
      </c>
      <c r="D279">
        <v>18.780000999999999</v>
      </c>
      <c r="E279">
        <v>18.780000999999999</v>
      </c>
      <c r="F279">
        <v>17.431408000000001</v>
      </c>
      <c r="G279">
        <v>0</v>
      </c>
    </row>
    <row r="280" spans="1:7" x14ac:dyDescent="0.3">
      <c r="A280" s="1">
        <v>43160</v>
      </c>
      <c r="B280">
        <v>18.98</v>
      </c>
      <c r="C280">
        <v>19.540001</v>
      </c>
      <c r="D280">
        <v>18.610001</v>
      </c>
      <c r="E280">
        <v>19.030000999999999</v>
      </c>
      <c r="F280">
        <v>17.663456</v>
      </c>
      <c r="G280">
        <v>0</v>
      </c>
    </row>
    <row r="281" spans="1:7" x14ac:dyDescent="0.3">
      <c r="A281" s="1">
        <v>43191</v>
      </c>
      <c r="B281">
        <v>19.280000999999999</v>
      </c>
      <c r="C281">
        <v>20.059999000000001</v>
      </c>
      <c r="D281">
        <v>18.860001</v>
      </c>
      <c r="E281">
        <v>19.25</v>
      </c>
      <c r="F281">
        <v>17.867659</v>
      </c>
      <c r="G281">
        <v>0</v>
      </c>
    </row>
    <row r="282" spans="1:7" x14ac:dyDescent="0.3">
      <c r="A282" s="1">
        <v>43221</v>
      </c>
      <c r="B282">
        <v>19.290001</v>
      </c>
      <c r="C282">
        <v>19.780000999999999</v>
      </c>
      <c r="D282">
        <v>18.969999000000001</v>
      </c>
      <c r="E282">
        <v>19.25</v>
      </c>
      <c r="F282">
        <v>17.867659</v>
      </c>
      <c r="G282">
        <v>0</v>
      </c>
    </row>
    <row r="283" spans="1:7" x14ac:dyDescent="0.3">
      <c r="A283" s="1">
        <v>43252</v>
      </c>
      <c r="B283">
        <v>19.190000999999999</v>
      </c>
      <c r="C283">
        <v>19.360001</v>
      </c>
      <c r="D283">
        <v>18.68</v>
      </c>
      <c r="E283">
        <v>19.079999999999998</v>
      </c>
      <c r="F283">
        <v>17.709866000000002</v>
      </c>
      <c r="G283">
        <v>0</v>
      </c>
    </row>
    <row r="284" spans="1:7" x14ac:dyDescent="0.3">
      <c r="A284" s="1">
        <v>43282</v>
      </c>
      <c r="B284">
        <v>18.920000000000002</v>
      </c>
      <c r="C284">
        <v>19.440000999999999</v>
      </c>
      <c r="D284">
        <v>18.420000000000002</v>
      </c>
      <c r="E284">
        <v>18.440000999999999</v>
      </c>
      <c r="F284">
        <v>17.115828</v>
      </c>
      <c r="G284">
        <v>0</v>
      </c>
    </row>
    <row r="285" spans="1:7" x14ac:dyDescent="0.3">
      <c r="A285" s="1">
        <v>43313</v>
      </c>
      <c r="B285">
        <v>18.25</v>
      </c>
      <c r="C285">
        <v>18.25</v>
      </c>
      <c r="D285">
        <v>15.77</v>
      </c>
      <c r="E285">
        <v>16.170000000000002</v>
      </c>
      <c r="F285">
        <v>15.008832999999999</v>
      </c>
      <c r="G285">
        <v>0</v>
      </c>
    </row>
    <row r="286" spans="1:7" x14ac:dyDescent="0.3">
      <c r="A286" s="1">
        <v>43344</v>
      </c>
      <c r="B286">
        <v>15.68</v>
      </c>
      <c r="C286">
        <v>16.450001</v>
      </c>
      <c r="D286">
        <v>15.36</v>
      </c>
      <c r="E286">
        <v>16.09</v>
      </c>
      <c r="F286">
        <v>14.934576</v>
      </c>
      <c r="G286">
        <v>0</v>
      </c>
    </row>
    <row r="287" spans="1:7" x14ac:dyDescent="0.3">
      <c r="A287" s="1">
        <v>43374</v>
      </c>
      <c r="B287">
        <v>16.149999999999999</v>
      </c>
      <c r="C287">
        <v>17.530000999999999</v>
      </c>
      <c r="D287">
        <v>16.110001</v>
      </c>
      <c r="E287">
        <v>16.290001</v>
      </c>
      <c r="F287">
        <v>15.120215999999999</v>
      </c>
      <c r="G287">
        <v>0</v>
      </c>
    </row>
    <row r="288" spans="1:7" x14ac:dyDescent="0.3">
      <c r="A288" s="1">
        <v>43405</v>
      </c>
      <c r="B288">
        <v>16.920000000000002</v>
      </c>
      <c r="C288">
        <v>16.969999000000001</v>
      </c>
      <c r="D288">
        <v>15.84</v>
      </c>
      <c r="E288">
        <v>16.239999999999998</v>
      </c>
      <c r="F288">
        <v>15.073805999999999</v>
      </c>
      <c r="G288">
        <v>0</v>
      </c>
    </row>
    <row r="289" spans="1:7" x14ac:dyDescent="0.3">
      <c r="A289" s="1">
        <v>43435</v>
      </c>
      <c r="B289">
        <v>16.540001</v>
      </c>
      <c r="C289">
        <v>18.07</v>
      </c>
      <c r="D289">
        <v>16.540001</v>
      </c>
      <c r="E289">
        <v>18.07</v>
      </c>
      <c r="F289">
        <v>16.772392</v>
      </c>
      <c r="G289">
        <v>0</v>
      </c>
    </row>
    <row r="290" spans="1:7" x14ac:dyDescent="0.3">
      <c r="A290" s="1">
        <v>43466</v>
      </c>
      <c r="B290">
        <v>18.059999000000001</v>
      </c>
      <c r="C290">
        <v>19.219999000000001</v>
      </c>
      <c r="D290">
        <v>17.370000999999998</v>
      </c>
      <c r="E290">
        <v>19.219999000000001</v>
      </c>
      <c r="F290">
        <v>17.839812999999999</v>
      </c>
      <c r="G290">
        <v>0</v>
      </c>
    </row>
    <row r="291" spans="1:7" x14ac:dyDescent="0.3">
      <c r="A291" s="1">
        <v>43497</v>
      </c>
      <c r="B291">
        <v>19.129999000000002</v>
      </c>
      <c r="C291">
        <v>19.739999999999998</v>
      </c>
      <c r="D291">
        <v>18.670000000000002</v>
      </c>
      <c r="E291">
        <v>19.07</v>
      </c>
      <c r="F291">
        <v>17.700583000000002</v>
      </c>
      <c r="G291">
        <v>0</v>
      </c>
    </row>
    <row r="292" spans="1:7" x14ac:dyDescent="0.3">
      <c r="A292" s="1">
        <v>43525</v>
      </c>
      <c r="B292">
        <v>18.73</v>
      </c>
      <c r="C292">
        <v>19.940000999999999</v>
      </c>
      <c r="D292">
        <v>18.440000999999999</v>
      </c>
      <c r="E292">
        <v>19.18</v>
      </c>
      <c r="F292">
        <v>17.802685</v>
      </c>
      <c r="G292">
        <v>0</v>
      </c>
    </row>
    <row r="293" spans="1:7" x14ac:dyDescent="0.3">
      <c r="A293" s="1">
        <v>43556</v>
      </c>
      <c r="B293">
        <v>18.850000000000001</v>
      </c>
      <c r="C293">
        <v>19.360001</v>
      </c>
      <c r="D293">
        <v>17.790001</v>
      </c>
      <c r="E293">
        <v>17.920000000000002</v>
      </c>
      <c r="F293">
        <v>16.633165000000002</v>
      </c>
      <c r="G293">
        <v>0</v>
      </c>
    </row>
    <row r="294" spans="1:7" x14ac:dyDescent="0.3">
      <c r="A294" s="1">
        <v>43586</v>
      </c>
      <c r="B294">
        <v>17.639999</v>
      </c>
      <c r="C294">
        <v>18.670000000000002</v>
      </c>
      <c r="D294">
        <v>17.379999000000002</v>
      </c>
      <c r="E294">
        <v>18.670000000000002</v>
      </c>
      <c r="F294">
        <v>17.329308999999999</v>
      </c>
      <c r="G294">
        <v>0</v>
      </c>
    </row>
    <row r="295" spans="1:7" x14ac:dyDescent="0.3">
      <c r="A295" s="1">
        <v>43617</v>
      </c>
      <c r="B295">
        <v>19.350000000000001</v>
      </c>
      <c r="C295">
        <v>21.85</v>
      </c>
      <c r="D295">
        <v>19.350000000000001</v>
      </c>
      <c r="E295">
        <v>21.68</v>
      </c>
      <c r="F295">
        <v>20.123161</v>
      </c>
      <c r="G295">
        <v>0</v>
      </c>
    </row>
    <row r="296" spans="1:7" x14ac:dyDescent="0.3">
      <c r="A296" s="1">
        <v>43647</v>
      </c>
      <c r="B296">
        <v>21.02</v>
      </c>
      <c r="C296">
        <v>23.65</v>
      </c>
      <c r="D296">
        <v>21.02</v>
      </c>
      <c r="E296">
        <v>22.299999</v>
      </c>
      <c r="F296">
        <v>20.698634999999999</v>
      </c>
      <c r="G296">
        <v>0</v>
      </c>
    </row>
    <row r="297" spans="1:7" x14ac:dyDescent="0.3">
      <c r="A297" s="1">
        <v>43678</v>
      </c>
      <c r="B297">
        <v>22.879999000000002</v>
      </c>
      <c r="C297">
        <v>25.1</v>
      </c>
      <c r="D297">
        <v>22.879999000000002</v>
      </c>
      <c r="E297">
        <v>24.65</v>
      </c>
      <c r="F297">
        <v>22.879885000000002</v>
      </c>
      <c r="G297">
        <v>0</v>
      </c>
    </row>
    <row r="298" spans="1:7" x14ac:dyDescent="0.3">
      <c r="A298" s="1">
        <v>43709</v>
      </c>
      <c r="B298">
        <v>24.969999000000001</v>
      </c>
      <c r="C298">
        <v>25.389999</v>
      </c>
      <c r="D298">
        <v>22.200001</v>
      </c>
      <c r="E298">
        <v>22.219999000000001</v>
      </c>
      <c r="F298">
        <v>20.624382000000001</v>
      </c>
      <c r="G298">
        <v>0</v>
      </c>
    </row>
    <row r="299" spans="1:7" x14ac:dyDescent="0.3">
      <c r="A299" s="1">
        <v>43739</v>
      </c>
      <c r="B299">
        <v>22.27</v>
      </c>
      <c r="C299">
        <v>23.379999000000002</v>
      </c>
      <c r="D299">
        <v>21.73</v>
      </c>
      <c r="E299">
        <v>22.870000999999998</v>
      </c>
      <c r="F299">
        <v>21.227706999999999</v>
      </c>
      <c r="G299">
        <v>0</v>
      </c>
    </row>
    <row r="300" spans="1:7" x14ac:dyDescent="0.3">
      <c r="A300" s="1">
        <v>43770</v>
      </c>
      <c r="B300">
        <v>22.709999</v>
      </c>
      <c r="C300">
        <v>22.709999</v>
      </c>
      <c r="D300">
        <v>21.35</v>
      </c>
      <c r="E300">
        <v>22.049999</v>
      </c>
      <c r="F300">
        <v>20.466588999999999</v>
      </c>
      <c r="G300">
        <v>0</v>
      </c>
    </row>
    <row r="301" spans="1:7" x14ac:dyDescent="0.3">
      <c r="A301" s="1">
        <v>43800</v>
      </c>
      <c r="B301">
        <v>22.200001</v>
      </c>
      <c r="C301">
        <v>24.379999000000002</v>
      </c>
      <c r="D301">
        <v>22.049999</v>
      </c>
      <c r="E301">
        <v>24.379999000000002</v>
      </c>
      <c r="F301">
        <v>22.629270999999999</v>
      </c>
      <c r="G301">
        <v>0</v>
      </c>
    </row>
    <row r="302" spans="1:7" x14ac:dyDescent="0.3">
      <c r="A302" s="1">
        <v>43831</v>
      </c>
      <c r="B302">
        <v>24.190000999999999</v>
      </c>
      <c r="C302">
        <v>24.5</v>
      </c>
      <c r="D302">
        <v>23.209999</v>
      </c>
      <c r="E302">
        <v>24.450001</v>
      </c>
      <c r="F302">
        <v>22.791698</v>
      </c>
      <c r="G302">
        <v>0</v>
      </c>
    </row>
    <row r="303" spans="1:7" x14ac:dyDescent="0.3">
      <c r="A303" s="1">
        <v>43862</v>
      </c>
      <c r="B303">
        <v>24.17</v>
      </c>
      <c r="C303">
        <v>26.24</v>
      </c>
      <c r="D303">
        <v>22.33</v>
      </c>
      <c r="E303">
        <v>22.33</v>
      </c>
      <c r="F303">
        <v>20.815487000000001</v>
      </c>
      <c r="G303">
        <v>0</v>
      </c>
    </row>
    <row r="304" spans="1:7" x14ac:dyDescent="0.3">
      <c r="A304" s="1">
        <v>43891</v>
      </c>
      <c r="B304">
        <v>22.99</v>
      </c>
      <c r="C304">
        <v>24.950001</v>
      </c>
      <c r="D304">
        <v>17.41</v>
      </c>
      <c r="E304">
        <v>19.73</v>
      </c>
      <c r="F304">
        <v>18.391825000000001</v>
      </c>
      <c r="G304">
        <v>0</v>
      </c>
    </row>
    <row r="305" spans="1:7" x14ac:dyDescent="0.3">
      <c r="A305" s="1">
        <v>43922</v>
      </c>
      <c r="B305">
        <v>20.149999999999999</v>
      </c>
      <c r="C305">
        <v>28.440000999999999</v>
      </c>
      <c r="D305">
        <v>20.149999999999999</v>
      </c>
      <c r="E305">
        <v>27.209999</v>
      </c>
      <c r="F305">
        <v>25.364502000000002</v>
      </c>
      <c r="G305">
        <v>0</v>
      </c>
    </row>
    <row r="306" spans="1:7" x14ac:dyDescent="0.3">
      <c r="A306" s="1">
        <v>43952</v>
      </c>
      <c r="B306">
        <v>28.01</v>
      </c>
      <c r="C306">
        <v>31.030000999999999</v>
      </c>
      <c r="D306">
        <v>28.01</v>
      </c>
      <c r="E306">
        <v>28.59</v>
      </c>
      <c r="F306">
        <v>26.853037</v>
      </c>
      <c r="G306">
        <v>0</v>
      </c>
    </row>
    <row r="307" spans="1:7" x14ac:dyDescent="0.3">
      <c r="A307" s="1">
        <v>43983</v>
      </c>
      <c r="B307">
        <v>29.33</v>
      </c>
      <c r="C307">
        <v>30.459999</v>
      </c>
      <c r="D307">
        <v>26.98</v>
      </c>
      <c r="E307">
        <v>30.459999</v>
      </c>
      <c r="F307">
        <v>28.609425999999999</v>
      </c>
      <c r="G307">
        <v>0</v>
      </c>
    </row>
    <row r="308" spans="1:7" x14ac:dyDescent="0.3">
      <c r="A308" s="1">
        <v>44013</v>
      </c>
      <c r="B308">
        <v>30.459999</v>
      </c>
      <c r="C308">
        <v>36.099997999999999</v>
      </c>
      <c r="D308">
        <v>30.059999000000001</v>
      </c>
      <c r="E308">
        <v>35.200001</v>
      </c>
      <c r="F308">
        <v>33.061450999999998</v>
      </c>
      <c r="G308">
        <v>0</v>
      </c>
    </row>
    <row r="309" spans="1:7" x14ac:dyDescent="0.3">
      <c r="A309" s="1">
        <v>44044</v>
      </c>
      <c r="B309">
        <v>34.919998</v>
      </c>
      <c r="C309">
        <v>36.540000999999997</v>
      </c>
      <c r="D309">
        <v>32.330002</v>
      </c>
      <c r="E309">
        <v>34.82</v>
      </c>
      <c r="F309">
        <v>32.704540000000001</v>
      </c>
      <c r="G309">
        <v>0</v>
      </c>
    </row>
    <row r="310" spans="1:7" x14ac:dyDescent="0.3">
      <c r="A310" s="1">
        <v>44075</v>
      </c>
      <c r="B310">
        <v>34.419998</v>
      </c>
      <c r="C310">
        <v>35.509998000000003</v>
      </c>
      <c r="D310">
        <v>30.950001</v>
      </c>
      <c r="E310">
        <v>32.459999000000003</v>
      </c>
      <c r="F310">
        <v>30.487916999999999</v>
      </c>
      <c r="G310">
        <v>0</v>
      </c>
    </row>
    <row r="311" spans="1:7" x14ac:dyDescent="0.3">
      <c r="A311" s="1">
        <v>44105</v>
      </c>
      <c r="B311">
        <v>32.759998000000003</v>
      </c>
      <c r="C311">
        <v>33.840000000000003</v>
      </c>
      <c r="D311">
        <v>30.4</v>
      </c>
      <c r="E311">
        <v>31.32</v>
      </c>
      <c r="F311">
        <v>29.417176999999999</v>
      </c>
      <c r="G311">
        <v>0</v>
      </c>
    </row>
    <row r="312" spans="1:7" x14ac:dyDescent="0.3">
      <c r="A312" s="1">
        <v>44136</v>
      </c>
      <c r="B312">
        <v>32.159999999999997</v>
      </c>
      <c r="C312">
        <v>34.630001</v>
      </c>
      <c r="D312">
        <v>28.120000999999998</v>
      </c>
      <c r="E312">
        <v>29.07</v>
      </c>
      <c r="F312">
        <v>27.303875000000001</v>
      </c>
      <c r="G312">
        <v>0</v>
      </c>
    </row>
    <row r="313" spans="1:7" x14ac:dyDescent="0.3">
      <c r="A313" s="1">
        <v>44166</v>
      </c>
      <c r="B313">
        <v>30.1</v>
      </c>
      <c r="C313">
        <v>30.77</v>
      </c>
      <c r="D313">
        <v>27.93</v>
      </c>
      <c r="E313">
        <v>29.52</v>
      </c>
      <c r="F313">
        <v>27.726535999999999</v>
      </c>
      <c r="G313">
        <v>0</v>
      </c>
    </row>
    <row r="314" spans="1:7" x14ac:dyDescent="0.3">
      <c r="A314" s="1">
        <v>44197</v>
      </c>
      <c r="B314">
        <v>31.440000999999999</v>
      </c>
      <c r="C314">
        <v>31.51</v>
      </c>
      <c r="D314">
        <v>27.33</v>
      </c>
      <c r="E314">
        <v>28.049999</v>
      </c>
      <c r="F314">
        <v>27.388788000000002</v>
      </c>
      <c r="G314">
        <v>0</v>
      </c>
    </row>
    <row r="315" spans="1:7" x14ac:dyDescent="0.3">
      <c r="A315" s="1">
        <v>44228</v>
      </c>
      <c r="B315">
        <v>28.77</v>
      </c>
      <c r="C315">
        <v>28.77</v>
      </c>
      <c r="D315">
        <v>24.93</v>
      </c>
      <c r="E315">
        <v>24.93</v>
      </c>
      <c r="F315">
        <v>24.342334999999999</v>
      </c>
      <c r="G315">
        <v>0</v>
      </c>
    </row>
    <row r="316" spans="1:7" x14ac:dyDescent="0.3">
      <c r="A316" s="1">
        <v>44256</v>
      </c>
      <c r="B316">
        <v>24.719999000000001</v>
      </c>
      <c r="C316">
        <v>27.41</v>
      </c>
      <c r="D316">
        <v>24.719999000000001</v>
      </c>
      <c r="E316">
        <v>25.879999000000002</v>
      </c>
      <c r="F316">
        <v>25.269940999999999</v>
      </c>
      <c r="G316">
        <v>0</v>
      </c>
    </row>
    <row r="317" spans="1:7" x14ac:dyDescent="0.3">
      <c r="A317" s="1">
        <v>44287</v>
      </c>
      <c r="B317">
        <v>26.799999</v>
      </c>
      <c r="C317">
        <v>29.469999000000001</v>
      </c>
      <c r="D317">
        <v>26.799999</v>
      </c>
      <c r="E317">
        <v>27.809999000000001</v>
      </c>
      <c r="F317">
        <v>27.154446</v>
      </c>
      <c r="G317">
        <v>0</v>
      </c>
    </row>
    <row r="318" spans="1:7" x14ac:dyDescent="0.3">
      <c r="A318" s="1">
        <v>44317</v>
      </c>
      <c r="B318">
        <v>28.799999</v>
      </c>
      <c r="C318">
        <v>32.009998000000003</v>
      </c>
      <c r="D318">
        <v>28.559999000000001</v>
      </c>
      <c r="E318">
        <v>32.009998000000003</v>
      </c>
      <c r="F318">
        <v>31.25544</v>
      </c>
      <c r="G318">
        <v>0</v>
      </c>
    </row>
    <row r="319" spans="1:7" x14ac:dyDescent="0.3">
      <c r="A319" s="1">
        <v>44348</v>
      </c>
      <c r="B319">
        <v>32.139999000000003</v>
      </c>
      <c r="C319">
        <v>32.139999000000003</v>
      </c>
      <c r="D319">
        <v>27.780000999999999</v>
      </c>
      <c r="E319">
        <v>28.129999000000002</v>
      </c>
      <c r="F319">
        <v>27.466904</v>
      </c>
      <c r="G319">
        <v>0</v>
      </c>
    </row>
    <row r="320" spans="1:7" x14ac:dyDescent="0.3">
      <c r="A320" s="1">
        <v>44378</v>
      </c>
      <c r="B320">
        <v>28.07</v>
      </c>
      <c r="C320">
        <v>28.92</v>
      </c>
      <c r="D320">
        <v>27.110001</v>
      </c>
      <c r="E320">
        <v>28.92</v>
      </c>
      <c r="F320">
        <v>28.238281000000001</v>
      </c>
      <c r="G320">
        <v>0</v>
      </c>
    </row>
    <row r="321" spans="1:7" x14ac:dyDescent="0.3">
      <c r="A321" s="1">
        <v>44409</v>
      </c>
      <c r="B321">
        <v>28.879999000000002</v>
      </c>
      <c r="C321">
        <v>28.91</v>
      </c>
      <c r="D321">
        <v>25.549999</v>
      </c>
      <c r="E321">
        <v>27.08</v>
      </c>
      <c r="F321">
        <v>26.441654</v>
      </c>
      <c r="G321">
        <v>0</v>
      </c>
    </row>
    <row r="322" spans="1:7" x14ac:dyDescent="0.3">
      <c r="A322" s="1">
        <v>44440</v>
      </c>
      <c r="B322">
        <v>26.879999000000002</v>
      </c>
      <c r="C322">
        <v>27.68</v>
      </c>
      <c r="D322">
        <v>24.030000999999999</v>
      </c>
      <c r="E322">
        <v>24.389999</v>
      </c>
      <c r="F322">
        <v>23.815062999999999</v>
      </c>
      <c r="G322">
        <v>0</v>
      </c>
    </row>
    <row r="323" spans="1:7" x14ac:dyDescent="0.3">
      <c r="A323" s="1">
        <v>44470</v>
      </c>
      <c r="B323">
        <v>24.219999000000001</v>
      </c>
      <c r="C323">
        <v>27.280000999999999</v>
      </c>
      <c r="D323">
        <v>24.219999000000001</v>
      </c>
      <c r="E323">
        <v>26.07</v>
      </c>
      <c r="F323">
        <v>25.455462000000001</v>
      </c>
      <c r="G323">
        <v>0</v>
      </c>
    </row>
    <row r="324" spans="1:7" x14ac:dyDescent="0.3">
      <c r="A324" s="1">
        <v>44501</v>
      </c>
      <c r="B324">
        <v>26.040001</v>
      </c>
      <c r="C324">
        <v>28.57</v>
      </c>
      <c r="D324">
        <v>25.82</v>
      </c>
      <c r="E324">
        <v>25.85</v>
      </c>
      <c r="F324">
        <v>25.240648</v>
      </c>
      <c r="G324">
        <v>0</v>
      </c>
    </row>
    <row r="325" spans="1:7" x14ac:dyDescent="0.3">
      <c r="A325" s="1">
        <v>44531</v>
      </c>
      <c r="B325">
        <v>24.99</v>
      </c>
      <c r="C325">
        <v>26</v>
      </c>
      <c r="D325">
        <v>23.84</v>
      </c>
      <c r="E325">
        <v>26</v>
      </c>
      <c r="F325">
        <v>25.387114</v>
      </c>
      <c r="G325">
        <v>0</v>
      </c>
    </row>
    <row r="326" spans="1:7" x14ac:dyDescent="0.3">
      <c r="A326" s="1">
        <v>44562</v>
      </c>
      <c r="B326">
        <v>25.549999</v>
      </c>
      <c r="C326">
        <v>26.43</v>
      </c>
      <c r="D326">
        <v>23.51</v>
      </c>
      <c r="E326">
        <v>24.24</v>
      </c>
      <c r="F326">
        <v>24.066828000000001</v>
      </c>
      <c r="G326">
        <v>0</v>
      </c>
    </row>
    <row r="327" spans="1:7" x14ac:dyDescent="0.3">
      <c r="A327" s="1">
        <v>44593</v>
      </c>
      <c r="B327">
        <v>24.43</v>
      </c>
      <c r="C327">
        <v>27.360001</v>
      </c>
      <c r="D327">
        <v>24.200001</v>
      </c>
      <c r="E327">
        <v>27.139999</v>
      </c>
      <c r="F327">
        <v>26.946111999999999</v>
      </c>
      <c r="G327">
        <v>0</v>
      </c>
    </row>
    <row r="328" spans="1:7" x14ac:dyDescent="0.3">
      <c r="A328" s="1">
        <v>44621</v>
      </c>
      <c r="B328">
        <v>28.049999</v>
      </c>
      <c r="C328">
        <v>30.719999000000001</v>
      </c>
      <c r="D328">
        <v>28.049999</v>
      </c>
      <c r="E328">
        <v>30.18</v>
      </c>
      <c r="F328">
        <v>29.964393999999999</v>
      </c>
      <c r="G328">
        <v>0</v>
      </c>
    </row>
    <row r="329" spans="1:7" x14ac:dyDescent="0.3">
      <c r="A329" s="1">
        <v>44652</v>
      </c>
      <c r="B329">
        <v>30.92</v>
      </c>
      <c r="C329">
        <v>31.52</v>
      </c>
      <c r="D329">
        <v>26.969999000000001</v>
      </c>
      <c r="E329">
        <v>27.34</v>
      </c>
      <c r="F329">
        <v>27.144682</v>
      </c>
      <c r="G329">
        <v>0</v>
      </c>
    </row>
    <row r="330" spans="1:7" x14ac:dyDescent="0.3">
      <c r="A330" s="1">
        <v>44682</v>
      </c>
      <c r="B330">
        <v>26.91</v>
      </c>
      <c r="C330">
        <v>28.059999000000001</v>
      </c>
      <c r="D330">
        <v>23.780000999999999</v>
      </c>
      <c r="E330">
        <v>24.879999000000002</v>
      </c>
      <c r="F330">
        <v>24.768732</v>
      </c>
      <c r="G330">
        <v>0</v>
      </c>
    </row>
    <row r="331" spans="1:7" x14ac:dyDescent="0.3">
      <c r="A331" s="1">
        <v>44713</v>
      </c>
      <c r="B331">
        <v>24.940000999999999</v>
      </c>
      <c r="C331">
        <v>26.07</v>
      </c>
      <c r="D331">
        <v>21.379999000000002</v>
      </c>
      <c r="E331">
        <v>21.379999000000002</v>
      </c>
      <c r="F331">
        <v>21.284386000000001</v>
      </c>
      <c r="G331">
        <v>0</v>
      </c>
    </row>
    <row r="332" spans="1:7" x14ac:dyDescent="0.3">
      <c r="A332" s="1">
        <v>44743</v>
      </c>
      <c r="B332">
        <v>21.440000999999999</v>
      </c>
      <c r="C332">
        <v>21.440000999999999</v>
      </c>
      <c r="D332">
        <v>18.940000999999999</v>
      </c>
      <c r="E332">
        <v>20.41</v>
      </c>
      <c r="F332">
        <v>20.318724</v>
      </c>
      <c r="G332">
        <v>0</v>
      </c>
    </row>
    <row r="333" spans="1:7" x14ac:dyDescent="0.3">
      <c r="A333" s="1">
        <v>44774</v>
      </c>
      <c r="B333">
        <v>20.34</v>
      </c>
      <c r="C333">
        <v>21.33</v>
      </c>
      <c r="D333">
        <v>18.75</v>
      </c>
      <c r="E333">
        <v>18.75</v>
      </c>
      <c r="F333">
        <v>18.666146999999999</v>
      </c>
      <c r="G333">
        <v>0</v>
      </c>
    </row>
    <row r="334" spans="1:7" x14ac:dyDescent="0.3">
      <c r="A334" s="1">
        <v>44805</v>
      </c>
      <c r="B334">
        <v>18.120000999999998</v>
      </c>
      <c r="C334">
        <v>19.93</v>
      </c>
      <c r="D334">
        <v>17.040001</v>
      </c>
      <c r="E334">
        <v>18.719999000000001</v>
      </c>
      <c r="F334">
        <v>18.636279999999999</v>
      </c>
      <c r="G334">
        <v>0</v>
      </c>
    </row>
    <row r="335" spans="1:7" x14ac:dyDescent="0.3">
      <c r="A335" s="1">
        <v>44835</v>
      </c>
      <c r="B335">
        <v>19.48</v>
      </c>
      <c r="C335">
        <v>20.02</v>
      </c>
      <c r="D335">
        <v>17.889999</v>
      </c>
      <c r="E335">
        <v>18.739999999999998</v>
      </c>
      <c r="F335">
        <v>18.656192999999998</v>
      </c>
      <c r="G335">
        <v>0</v>
      </c>
    </row>
    <row r="336" spans="1:7" x14ac:dyDescent="0.3">
      <c r="A336" s="1">
        <v>44866</v>
      </c>
      <c r="B336">
        <v>19.040001</v>
      </c>
      <c r="C336">
        <v>22.190000999999999</v>
      </c>
      <c r="D336">
        <v>17.620000999999998</v>
      </c>
      <c r="E336">
        <v>22.190000999999999</v>
      </c>
      <c r="F336">
        <v>22.090762999999999</v>
      </c>
      <c r="G336">
        <v>0</v>
      </c>
    </row>
    <row r="337" spans="1:7" x14ac:dyDescent="0.3">
      <c r="A337" s="1">
        <v>44896</v>
      </c>
      <c r="B337">
        <v>22.969999000000001</v>
      </c>
      <c r="C337">
        <v>22.969999000000001</v>
      </c>
      <c r="D337">
        <v>21.469999000000001</v>
      </c>
      <c r="E337">
        <v>22.440000999999999</v>
      </c>
      <c r="F337">
        <v>22.339645000000001</v>
      </c>
      <c r="G337">
        <v>0</v>
      </c>
    </row>
    <row r="338" spans="1:7" x14ac:dyDescent="0.3">
      <c r="A338" s="1">
        <v>44927</v>
      </c>
      <c r="B338">
        <v>23.059999000000001</v>
      </c>
      <c r="C338">
        <v>25.59</v>
      </c>
      <c r="D338">
        <v>23.059999000000001</v>
      </c>
      <c r="E338">
        <v>24.99</v>
      </c>
      <c r="F338">
        <v>24.878240999999999</v>
      </c>
      <c r="G338">
        <v>0</v>
      </c>
    </row>
    <row r="339" spans="1:7" x14ac:dyDescent="0.3">
      <c r="A339" s="1">
        <v>44958</v>
      </c>
      <c r="B339">
        <v>25.43</v>
      </c>
      <c r="C339">
        <v>25.43</v>
      </c>
      <c r="D339">
        <v>21.4</v>
      </c>
      <c r="E339">
        <v>21.879999000000002</v>
      </c>
      <c r="F339">
        <v>21.782147999999999</v>
      </c>
      <c r="G339">
        <v>0</v>
      </c>
    </row>
    <row r="340" spans="1:7" x14ac:dyDescent="0.3">
      <c r="A340" s="1">
        <v>44986</v>
      </c>
      <c r="B340">
        <v>22.440000999999999</v>
      </c>
      <c r="C340">
        <v>25.09</v>
      </c>
      <c r="D340">
        <v>21.120000999999998</v>
      </c>
      <c r="E340">
        <v>25.040001</v>
      </c>
      <c r="F340">
        <v>24.928018999999999</v>
      </c>
      <c r="G340">
        <v>0</v>
      </c>
    </row>
    <row r="341" spans="1:7" x14ac:dyDescent="0.3">
      <c r="A341" s="1">
        <v>45017</v>
      </c>
      <c r="B341">
        <v>25.440000999999999</v>
      </c>
      <c r="C341">
        <v>27.280000999999999</v>
      </c>
      <c r="D341">
        <v>25.23</v>
      </c>
      <c r="E341">
        <v>25.41</v>
      </c>
      <c r="F341">
        <v>25.296361999999998</v>
      </c>
      <c r="G341">
        <v>0</v>
      </c>
    </row>
    <row r="342" spans="1:7" x14ac:dyDescent="0.3">
      <c r="A342" s="1">
        <v>45047</v>
      </c>
      <c r="B342">
        <v>25.280000999999999</v>
      </c>
      <c r="C342">
        <v>26.67</v>
      </c>
      <c r="D342">
        <v>22.559999000000001</v>
      </c>
      <c r="E342">
        <v>23.01</v>
      </c>
      <c r="F342">
        <v>23.01</v>
      </c>
      <c r="G342">
        <v>0</v>
      </c>
    </row>
    <row r="343" spans="1:7" x14ac:dyDescent="0.3">
      <c r="A343" s="1">
        <v>45078</v>
      </c>
      <c r="B343">
        <v>23.780000999999999</v>
      </c>
      <c r="C343">
        <v>23.780000999999999</v>
      </c>
      <c r="D343">
        <v>21.65</v>
      </c>
      <c r="E343">
        <v>22.34</v>
      </c>
      <c r="F343">
        <v>22.34</v>
      </c>
      <c r="G343">
        <v>0</v>
      </c>
    </row>
    <row r="344" spans="1:7" x14ac:dyDescent="0.3">
      <c r="A344" s="1">
        <v>45108</v>
      </c>
      <c r="B344">
        <v>22.42</v>
      </c>
      <c r="C344">
        <v>24.049999</v>
      </c>
      <c r="D344">
        <v>21.68</v>
      </c>
      <c r="E344">
        <v>23.27</v>
      </c>
      <c r="F344">
        <v>23.27</v>
      </c>
      <c r="G344">
        <v>0</v>
      </c>
    </row>
    <row r="345" spans="1:7" x14ac:dyDescent="0.3">
      <c r="A345" s="1">
        <v>45139</v>
      </c>
      <c r="B345">
        <v>22.65</v>
      </c>
      <c r="C345">
        <v>22.65</v>
      </c>
      <c r="D345">
        <v>20.67</v>
      </c>
      <c r="E345">
        <v>21.940000999999999</v>
      </c>
      <c r="F345">
        <v>21.940000999999999</v>
      </c>
      <c r="G345">
        <v>0</v>
      </c>
    </row>
    <row r="346" spans="1:7" x14ac:dyDescent="0.3">
      <c r="A346" s="1">
        <v>45170</v>
      </c>
      <c r="B346">
        <v>21.77</v>
      </c>
      <c r="C346">
        <v>21.93</v>
      </c>
      <c r="D346">
        <v>19.91</v>
      </c>
      <c r="E346">
        <v>19.920000000000002</v>
      </c>
      <c r="F346">
        <v>19.920000000000002</v>
      </c>
      <c r="G34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5C63-734F-B049-8C84-83FE1D5DD800}">
  <dimension ref="A1:B356"/>
  <sheetViews>
    <sheetView tabSelected="1" workbookViewId="0">
      <selection activeCell="D18" sqref="D18"/>
    </sheetView>
  </sheetViews>
  <sheetFormatPr defaultColWidth="10.796875" defaultRowHeight="13.2" x14ac:dyDescent="0.25"/>
  <cols>
    <col min="1" max="256" width="20.69921875" style="2" customWidth="1"/>
    <col min="257" max="16384" width="10.796875" style="2"/>
  </cols>
  <sheetData>
    <row r="1" spans="1:2" x14ac:dyDescent="0.25">
      <c r="A1" s="2" t="s">
        <v>20</v>
      </c>
    </row>
    <row r="2" spans="1:2" x14ac:dyDescent="0.25">
      <c r="A2" s="2" t="s">
        <v>19</v>
      </c>
    </row>
    <row r="3" spans="1:2" x14ac:dyDescent="0.25">
      <c r="A3" s="2" t="s">
        <v>18</v>
      </c>
    </row>
    <row r="4" spans="1:2" x14ac:dyDescent="0.25">
      <c r="A4" s="2" t="s">
        <v>17</v>
      </c>
    </row>
    <row r="5" spans="1:2" x14ac:dyDescent="0.25">
      <c r="A5" s="2" t="s">
        <v>16</v>
      </c>
    </row>
    <row r="6" spans="1:2" x14ac:dyDescent="0.25">
      <c r="A6" s="2" t="s">
        <v>15</v>
      </c>
    </row>
    <row r="8" spans="1:2" x14ac:dyDescent="0.25">
      <c r="A8" s="2" t="s">
        <v>11</v>
      </c>
      <c r="B8" s="2" t="s">
        <v>14</v>
      </c>
    </row>
    <row r="10" spans="1:2" x14ac:dyDescent="0.25">
      <c r="A10" s="2" t="s">
        <v>13</v>
      </c>
    </row>
    <row r="11" spans="1:2" x14ac:dyDescent="0.25">
      <c r="A11" s="2" t="s">
        <v>12</v>
      </c>
      <c r="B11" s="2" t="s">
        <v>11</v>
      </c>
    </row>
    <row r="12" spans="1:2" x14ac:dyDescent="0.25">
      <c r="A12" s="4">
        <v>34700</v>
      </c>
      <c r="B12" s="3">
        <v>7.05</v>
      </c>
    </row>
    <row r="13" spans="1:2" x14ac:dyDescent="0.25">
      <c r="A13" s="4">
        <v>34731</v>
      </c>
      <c r="B13" s="3">
        <v>6.7</v>
      </c>
    </row>
    <row r="14" spans="1:2" x14ac:dyDescent="0.25">
      <c r="A14" s="4">
        <v>34759</v>
      </c>
      <c r="B14" s="3">
        <v>6.43</v>
      </c>
    </row>
    <row r="15" spans="1:2" x14ac:dyDescent="0.25">
      <c r="A15" s="4">
        <v>34790</v>
      </c>
      <c r="B15" s="3">
        <v>6.27</v>
      </c>
    </row>
    <row r="16" spans="1:2" x14ac:dyDescent="0.25">
      <c r="A16" s="4">
        <v>34820</v>
      </c>
      <c r="B16" s="3">
        <v>6</v>
      </c>
    </row>
    <row r="17" spans="1:2" x14ac:dyDescent="0.25">
      <c r="A17" s="4">
        <v>34851</v>
      </c>
      <c r="B17" s="3">
        <v>5.64</v>
      </c>
    </row>
    <row r="18" spans="1:2" x14ac:dyDescent="0.25">
      <c r="A18" s="4">
        <v>34881</v>
      </c>
      <c r="B18" s="3">
        <v>5.59</v>
      </c>
    </row>
    <row r="19" spans="1:2" x14ac:dyDescent="0.25">
      <c r="A19" s="4">
        <v>34912</v>
      </c>
      <c r="B19" s="3">
        <v>5.75</v>
      </c>
    </row>
    <row r="20" spans="1:2" x14ac:dyDescent="0.25">
      <c r="A20" s="4">
        <v>34943</v>
      </c>
      <c r="B20" s="3">
        <v>5.62</v>
      </c>
    </row>
    <row r="21" spans="1:2" x14ac:dyDescent="0.25">
      <c r="A21" s="4">
        <v>34973</v>
      </c>
      <c r="B21" s="3">
        <v>5.59</v>
      </c>
    </row>
    <row r="22" spans="1:2" x14ac:dyDescent="0.25">
      <c r="A22" s="4">
        <v>35004</v>
      </c>
      <c r="B22" s="3">
        <v>5.43</v>
      </c>
    </row>
    <row r="23" spans="1:2" x14ac:dyDescent="0.25">
      <c r="A23" s="4">
        <v>35034</v>
      </c>
      <c r="B23" s="3">
        <v>5.31</v>
      </c>
    </row>
    <row r="24" spans="1:2" x14ac:dyDescent="0.25">
      <c r="A24" s="4">
        <v>35065</v>
      </c>
      <c r="B24" s="3">
        <v>5.09</v>
      </c>
    </row>
    <row r="25" spans="1:2" x14ac:dyDescent="0.25">
      <c r="A25" s="4">
        <v>35096</v>
      </c>
      <c r="B25" s="3">
        <v>4.9400000000000004</v>
      </c>
    </row>
    <row r="26" spans="1:2" x14ac:dyDescent="0.25">
      <c r="A26" s="4">
        <v>35125</v>
      </c>
      <c r="B26" s="3">
        <v>5.34</v>
      </c>
    </row>
    <row r="27" spans="1:2" x14ac:dyDescent="0.25">
      <c r="A27" s="4">
        <v>35156</v>
      </c>
      <c r="B27" s="3">
        <v>5.54</v>
      </c>
    </row>
    <row r="28" spans="1:2" x14ac:dyDescent="0.25">
      <c r="A28" s="4">
        <v>35186</v>
      </c>
      <c r="B28" s="3">
        <v>5.64</v>
      </c>
    </row>
    <row r="29" spans="1:2" x14ac:dyDescent="0.25">
      <c r="A29" s="4">
        <v>35217</v>
      </c>
      <c r="B29" s="3">
        <v>5.81</v>
      </c>
    </row>
    <row r="30" spans="1:2" x14ac:dyDescent="0.25">
      <c r="A30" s="4">
        <v>35247</v>
      </c>
      <c r="B30" s="3">
        <v>5.85</v>
      </c>
    </row>
    <row r="31" spans="1:2" x14ac:dyDescent="0.25">
      <c r="A31" s="4">
        <v>35278</v>
      </c>
      <c r="B31" s="3">
        <v>5.67</v>
      </c>
    </row>
    <row r="32" spans="1:2" x14ac:dyDescent="0.25">
      <c r="A32" s="4">
        <v>35309</v>
      </c>
      <c r="B32" s="3">
        <v>5.83</v>
      </c>
    </row>
    <row r="33" spans="1:2" x14ac:dyDescent="0.25">
      <c r="A33" s="4">
        <v>35339</v>
      </c>
      <c r="B33" s="3">
        <v>5.55</v>
      </c>
    </row>
    <row r="34" spans="1:2" x14ac:dyDescent="0.25">
      <c r="A34" s="4">
        <v>35370</v>
      </c>
      <c r="B34" s="3">
        <v>5.42</v>
      </c>
    </row>
    <row r="35" spans="1:2" x14ac:dyDescent="0.25">
      <c r="A35" s="4">
        <v>35400</v>
      </c>
      <c r="B35" s="3">
        <v>5.47</v>
      </c>
    </row>
    <row r="36" spans="1:2" x14ac:dyDescent="0.25">
      <c r="A36" s="4">
        <v>35431</v>
      </c>
      <c r="B36" s="3">
        <v>5.61</v>
      </c>
    </row>
    <row r="37" spans="1:2" x14ac:dyDescent="0.25">
      <c r="A37" s="4">
        <v>35462</v>
      </c>
      <c r="B37" s="3">
        <v>5.53</v>
      </c>
    </row>
    <row r="38" spans="1:2" x14ac:dyDescent="0.25">
      <c r="A38" s="4">
        <v>35490</v>
      </c>
      <c r="B38" s="3">
        <v>5.8</v>
      </c>
    </row>
    <row r="39" spans="1:2" x14ac:dyDescent="0.25">
      <c r="A39" s="4">
        <v>35521</v>
      </c>
      <c r="B39" s="3">
        <v>5.99</v>
      </c>
    </row>
    <row r="40" spans="1:2" x14ac:dyDescent="0.25">
      <c r="A40" s="4">
        <v>35551</v>
      </c>
      <c r="B40" s="3">
        <v>5.87</v>
      </c>
    </row>
    <row r="41" spans="1:2" x14ac:dyDescent="0.25">
      <c r="A41" s="4">
        <v>35582</v>
      </c>
      <c r="B41" s="3">
        <v>5.69</v>
      </c>
    </row>
    <row r="42" spans="1:2" x14ac:dyDescent="0.25">
      <c r="A42" s="4">
        <v>35612</v>
      </c>
      <c r="B42" s="3">
        <v>5.54</v>
      </c>
    </row>
    <row r="43" spans="1:2" x14ac:dyDescent="0.25">
      <c r="A43" s="4">
        <v>35643</v>
      </c>
      <c r="B43" s="3">
        <v>5.56</v>
      </c>
    </row>
    <row r="44" spans="1:2" x14ac:dyDescent="0.25">
      <c r="A44" s="4">
        <v>35674</v>
      </c>
      <c r="B44" s="3">
        <v>5.52</v>
      </c>
    </row>
    <row r="45" spans="1:2" x14ac:dyDescent="0.25">
      <c r="A45" s="4">
        <v>35704</v>
      </c>
      <c r="B45" s="3">
        <v>5.46</v>
      </c>
    </row>
    <row r="46" spans="1:2" x14ac:dyDescent="0.25">
      <c r="A46" s="4">
        <v>35735</v>
      </c>
      <c r="B46" s="3">
        <v>5.46</v>
      </c>
    </row>
    <row r="47" spans="1:2" x14ac:dyDescent="0.25">
      <c r="A47" s="4">
        <v>35765</v>
      </c>
      <c r="B47" s="3">
        <v>5.53</v>
      </c>
    </row>
    <row r="48" spans="1:2" x14ac:dyDescent="0.25">
      <c r="A48" s="4">
        <v>35796</v>
      </c>
      <c r="B48" s="3">
        <v>5.24</v>
      </c>
    </row>
    <row r="49" spans="1:2" x14ac:dyDescent="0.25">
      <c r="A49" s="4">
        <v>35827</v>
      </c>
      <c r="B49" s="3">
        <v>5.31</v>
      </c>
    </row>
    <row r="50" spans="1:2" x14ac:dyDescent="0.25">
      <c r="A50" s="4">
        <v>35855</v>
      </c>
      <c r="B50" s="3">
        <v>5.39</v>
      </c>
    </row>
    <row r="51" spans="1:2" x14ac:dyDescent="0.25">
      <c r="A51" s="4">
        <v>35886</v>
      </c>
      <c r="B51" s="3">
        <v>5.38</v>
      </c>
    </row>
    <row r="52" spans="1:2" x14ac:dyDescent="0.25">
      <c r="A52" s="4">
        <v>35916</v>
      </c>
      <c r="B52" s="3">
        <v>5.44</v>
      </c>
    </row>
    <row r="53" spans="1:2" x14ac:dyDescent="0.25">
      <c r="A53" s="4">
        <v>35947</v>
      </c>
      <c r="B53" s="3">
        <v>5.41</v>
      </c>
    </row>
    <row r="54" spans="1:2" x14ac:dyDescent="0.25">
      <c r="A54" s="4">
        <v>35977</v>
      </c>
      <c r="B54" s="3">
        <v>5.36</v>
      </c>
    </row>
    <row r="55" spans="1:2" x14ac:dyDescent="0.25">
      <c r="A55" s="4">
        <v>36008</v>
      </c>
      <c r="B55" s="3">
        <v>5.21</v>
      </c>
    </row>
    <row r="56" spans="1:2" x14ac:dyDescent="0.25">
      <c r="A56" s="4">
        <v>36039</v>
      </c>
      <c r="B56" s="3">
        <v>4.71</v>
      </c>
    </row>
    <row r="57" spans="1:2" x14ac:dyDescent="0.25">
      <c r="A57" s="4">
        <v>36069</v>
      </c>
      <c r="B57" s="3">
        <v>4.12</v>
      </c>
    </row>
    <row r="58" spans="1:2" x14ac:dyDescent="0.25">
      <c r="A58" s="4">
        <v>36100</v>
      </c>
      <c r="B58" s="3">
        <v>4.53</v>
      </c>
    </row>
    <row r="59" spans="1:2" x14ac:dyDescent="0.25">
      <c r="A59" s="4">
        <v>36130</v>
      </c>
      <c r="B59" s="3">
        <v>4.5199999999999996</v>
      </c>
    </row>
    <row r="60" spans="1:2" x14ac:dyDescent="0.25">
      <c r="A60" s="4">
        <v>36161</v>
      </c>
      <c r="B60" s="3">
        <v>4.51</v>
      </c>
    </row>
    <row r="61" spans="1:2" x14ac:dyDescent="0.25">
      <c r="A61" s="4">
        <v>36192</v>
      </c>
      <c r="B61" s="3">
        <v>4.7</v>
      </c>
    </row>
    <row r="62" spans="1:2" x14ac:dyDescent="0.25">
      <c r="A62" s="4">
        <v>36220</v>
      </c>
      <c r="B62" s="3">
        <v>4.78</v>
      </c>
    </row>
    <row r="63" spans="1:2" x14ac:dyDescent="0.25">
      <c r="A63" s="4">
        <v>36251</v>
      </c>
      <c r="B63" s="3">
        <v>4.6900000000000004</v>
      </c>
    </row>
    <row r="64" spans="1:2" x14ac:dyDescent="0.25">
      <c r="A64" s="4">
        <v>36281</v>
      </c>
      <c r="B64" s="3">
        <v>4.8499999999999996</v>
      </c>
    </row>
    <row r="65" spans="1:2" x14ac:dyDescent="0.25">
      <c r="A65" s="4">
        <v>36312</v>
      </c>
      <c r="B65" s="3">
        <v>5.0999999999999996</v>
      </c>
    </row>
    <row r="66" spans="1:2" x14ac:dyDescent="0.25">
      <c r="A66" s="4">
        <v>36342</v>
      </c>
      <c r="B66" s="3">
        <v>5.03</v>
      </c>
    </row>
    <row r="67" spans="1:2" x14ac:dyDescent="0.25">
      <c r="A67" s="4">
        <v>36373</v>
      </c>
      <c r="B67" s="3">
        <v>5.2</v>
      </c>
    </row>
    <row r="68" spans="1:2" x14ac:dyDescent="0.25">
      <c r="A68" s="4">
        <v>36404</v>
      </c>
      <c r="B68" s="3">
        <v>5.25</v>
      </c>
    </row>
    <row r="69" spans="1:2" x14ac:dyDescent="0.25">
      <c r="A69" s="4">
        <v>36434</v>
      </c>
      <c r="B69" s="3">
        <v>5.43</v>
      </c>
    </row>
    <row r="70" spans="1:2" x14ac:dyDescent="0.25">
      <c r="A70" s="4">
        <v>36465</v>
      </c>
      <c r="B70" s="3">
        <v>5.55</v>
      </c>
    </row>
    <row r="71" spans="1:2" x14ac:dyDescent="0.25">
      <c r="A71" s="4">
        <v>36495</v>
      </c>
      <c r="B71" s="3">
        <v>5.84</v>
      </c>
    </row>
    <row r="72" spans="1:2" x14ac:dyDescent="0.25">
      <c r="A72" s="4">
        <v>36526</v>
      </c>
      <c r="B72" s="3">
        <v>6.12</v>
      </c>
    </row>
    <row r="73" spans="1:2" x14ac:dyDescent="0.25">
      <c r="A73" s="4">
        <v>36557</v>
      </c>
      <c r="B73" s="3">
        <v>6.22</v>
      </c>
    </row>
    <row r="74" spans="1:2" x14ac:dyDescent="0.25">
      <c r="A74" s="4">
        <v>36586</v>
      </c>
      <c r="B74" s="3">
        <v>6.22</v>
      </c>
    </row>
    <row r="75" spans="1:2" x14ac:dyDescent="0.25">
      <c r="A75" s="4">
        <v>36617</v>
      </c>
      <c r="B75" s="3">
        <v>6.15</v>
      </c>
    </row>
    <row r="76" spans="1:2" x14ac:dyDescent="0.25">
      <c r="A76" s="4">
        <v>36647</v>
      </c>
      <c r="B76" s="3">
        <v>6.33</v>
      </c>
    </row>
    <row r="77" spans="1:2" x14ac:dyDescent="0.25">
      <c r="A77" s="4">
        <v>36678</v>
      </c>
      <c r="B77" s="3">
        <v>6.17</v>
      </c>
    </row>
    <row r="78" spans="1:2" x14ac:dyDescent="0.25">
      <c r="A78" s="4">
        <v>36708</v>
      </c>
      <c r="B78" s="3">
        <v>6.08</v>
      </c>
    </row>
    <row r="79" spans="1:2" x14ac:dyDescent="0.25">
      <c r="A79" s="4">
        <v>36739</v>
      </c>
      <c r="B79" s="3">
        <v>6.18</v>
      </c>
    </row>
    <row r="80" spans="1:2" x14ac:dyDescent="0.25">
      <c r="A80" s="4">
        <v>36770</v>
      </c>
      <c r="B80" s="3">
        <v>6.13</v>
      </c>
    </row>
    <row r="81" spans="1:2" x14ac:dyDescent="0.25">
      <c r="A81" s="4">
        <v>36800</v>
      </c>
      <c r="B81" s="3">
        <v>6.01</v>
      </c>
    </row>
    <row r="82" spans="1:2" x14ac:dyDescent="0.25">
      <c r="A82" s="4">
        <v>36831</v>
      </c>
      <c r="B82" s="3">
        <v>6.09</v>
      </c>
    </row>
    <row r="83" spans="1:2" x14ac:dyDescent="0.25">
      <c r="A83" s="4">
        <v>36861</v>
      </c>
      <c r="B83" s="3">
        <v>5.6</v>
      </c>
    </row>
    <row r="84" spans="1:2" x14ac:dyDescent="0.25">
      <c r="A84" s="4">
        <v>36892</v>
      </c>
      <c r="B84" s="3">
        <v>4.8099999999999996</v>
      </c>
    </row>
    <row r="85" spans="1:2" x14ac:dyDescent="0.25">
      <c r="A85" s="4">
        <v>36923</v>
      </c>
      <c r="B85" s="3">
        <v>4.68</v>
      </c>
    </row>
    <row r="86" spans="1:2" x14ac:dyDescent="0.25">
      <c r="A86" s="4">
        <v>36951</v>
      </c>
      <c r="B86" s="3">
        <v>4.3</v>
      </c>
    </row>
    <row r="87" spans="1:2" x14ac:dyDescent="0.25">
      <c r="A87" s="4">
        <v>36982</v>
      </c>
      <c r="B87" s="3">
        <v>3.98</v>
      </c>
    </row>
    <row r="88" spans="1:2" x14ac:dyDescent="0.25">
      <c r="A88" s="4">
        <v>37012</v>
      </c>
      <c r="B88" s="3">
        <v>3.78</v>
      </c>
    </row>
    <row r="89" spans="1:2" x14ac:dyDescent="0.25">
      <c r="A89" s="4">
        <v>37043</v>
      </c>
      <c r="B89" s="3">
        <v>3.58</v>
      </c>
    </row>
    <row r="90" spans="1:2" x14ac:dyDescent="0.25">
      <c r="A90" s="4">
        <v>37073</v>
      </c>
      <c r="B90" s="3">
        <v>3.62</v>
      </c>
    </row>
    <row r="91" spans="1:2" x14ac:dyDescent="0.25">
      <c r="A91" s="4">
        <v>37104</v>
      </c>
      <c r="B91" s="3">
        <v>3.47</v>
      </c>
    </row>
    <row r="92" spans="1:2" x14ac:dyDescent="0.25">
      <c r="A92" s="4">
        <v>37135</v>
      </c>
      <c r="B92" s="3">
        <v>2.82</v>
      </c>
    </row>
    <row r="93" spans="1:2" x14ac:dyDescent="0.25">
      <c r="A93" s="4">
        <v>37165</v>
      </c>
      <c r="B93" s="3">
        <v>2.33</v>
      </c>
    </row>
    <row r="94" spans="1:2" x14ac:dyDescent="0.25">
      <c r="A94" s="4">
        <v>37196</v>
      </c>
      <c r="B94" s="3">
        <v>2.1800000000000002</v>
      </c>
    </row>
    <row r="95" spans="1:2" x14ac:dyDescent="0.25">
      <c r="A95" s="4">
        <v>37226</v>
      </c>
      <c r="B95" s="3">
        <v>2.2200000000000002</v>
      </c>
    </row>
    <row r="96" spans="1:2" x14ac:dyDescent="0.25">
      <c r="A96" s="4">
        <v>37257</v>
      </c>
      <c r="B96" s="3">
        <v>2.16</v>
      </c>
    </row>
    <row r="97" spans="1:2" x14ac:dyDescent="0.25">
      <c r="A97" s="4">
        <v>37288</v>
      </c>
      <c r="B97" s="3">
        <v>2.23</v>
      </c>
    </row>
    <row r="98" spans="1:2" x14ac:dyDescent="0.25">
      <c r="A98" s="4">
        <v>37316</v>
      </c>
      <c r="B98" s="3">
        <v>2.57</v>
      </c>
    </row>
    <row r="99" spans="1:2" x14ac:dyDescent="0.25">
      <c r="A99" s="4">
        <v>37347</v>
      </c>
      <c r="B99" s="3">
        <v>2.48</v>
      </c>
    </row>
    <row r="100" spans="1:2" x14ac:dyDescent="0.25">
      <c r="A100" s="4">
        <v>37377</v>
      </c>
      <c r="B100" s="3">
        <v>2.35</v>
      </c>
    </row>
    <row r="101" spans="1:2" x14ac:dyDescent="0.25">
      <c r="A101" s="4">
        <v>37408</v>
      </c>
      <c r="B101" s="3">
        <v>2.2000000000000002</v>
      </c>
    </row>
    <row r="102" spans="1:2" x14ac:dyDescent="0.25">
      <c r="A102" s="4">
        <v>37438</v>
      </c>
      <c r="B102" s="3">
        <v>1.96</v>
      </c>
    </row>
    <row r="103" spans="1:2" x14ac:dyDescent="0.25">
      <c r="A103" s="4">
        <v>37469</v>
      </c>
      <c r="B103" s="3">
        <v>1.76</v>
      </c>
    </row>
    <row r="104" spans="1:2" x14ac:dyDescent="0.25">
      <c r="A104" s="4">
        <v>37500</v>
      </c>
      <c r="B104" s="3">
        <v>1.72</v>
      </c>
    </row>
    <row r="105" spans="1:2" x14ac:dyDescent="0.25">
      <c r="A105" s="4">
        <v>37530</v>
      </c>
      <c r="B105" s="3">
        <v>1.65</v>
      </c>
    </row>
    <row r="106" spans="1:2" x14ac:dyDescent="0.25">
      <c r="A106" s="4">
        <v>37561</v>
      </c>
      <c r="B106" s="3">
        <v>1.49</v>
      </c>
    </row>
    <row r="107" spans="1:2" x14ac:dyDescent="0.25">
      <c r="A107" s="4">
        <v>37591</v>
      </c>
      <c r="B107" s="3">
        <v>1.45</v>
      </c>
    </row>
    <row r="108" spans="1:2" x14ac:dyDescent="0.25">
      <c r="A108" s="4">
        <v>37622</v>
      </c>
      <c r="B108" s="3">
        <v>1.36</v>
      </c>
    </row>
    <row r="109" spans="1:2" x14ac:dyDescent="0.25">
      <c r="A109" s="4">
        <v>37653</v>
      </c>
      <c r="B109" s="3">
        <v>1.3</v>
      </c>
    </row>
    <row r="110" spans="1:2" x14ac:dyDescent="0.25">
      <c r="A110" s="4">
        <v>37681</v>
      </c>
      <c r="B110" s="3">
        <v>1.24</v>
      </c>
    </row>
    <row r="111" spans="1:2" x14ac:dyDescent="0.25">
      <c r="A111" s="4">
        <v>37712</v>
      </c>
      <c r="B111" s="3">
        <v>1.27</v>
      </c>
    </row>
    <row r="112" spans="1:2" x14ac:dyDescent="0.25">
      <c r="A112" s="4">
        <v>37742</v>
      </c>
      <c r="B112" s="3">
        <v>1.18</v>
      </c>
    </row>
    <row r="113" spans="1:2" x14ac:dyDescent="0.25">
      <c r="A113" s="4">
        <v>37773</v>
      </c>
      <c r="B113" s="3">
        <v>1.01</v>
      </c>
    </row>
    <row r="114" spans="1:2" x14ac:dyDescent="0.25">
      <c r="A114" s="4">
        <v>37803</v>
      </c>
      <c r="B114" s="3">
        <v>1.1200000000000001</v>
      </c>
    </row>
    <row r="115" spans="1:2" x14ac:dyDescent="0.25">
      <c r="A115" s="4">
        <v>37834</v>
      </c>
      <c r="B115" s="3">
        <v>1.31</v>
      </c>
    </row>
    <row r="116" spans="1:2" x14ac:dyDescent="0.25">
      <c r="A116" s="4">
        <v>37865</v>
      </c>
      <c r="B116" s="3">
        <v>1.24</v>
      </c>
    </row>
    <row r="117" spans="1:2" x14ac:dyDescent="0.25">
      <c r="A117" s="4">
        <v>37895</v>
      </c>
      <c r="B117" s="3">
        <v>1.25</v>
      </c>
    </row>
    <row r="118" spans="1:2" x14ac:dyDescent="0.25">
      <c r="A118" s="4">
        <v>37926</v>
      </c>
      <c r="B118" s="3">
        <v>1.34</v>
      </c>
    </row>
    <row r="119" spans="1:2" x14ac:dyDescent="0.25">
      <c r="A119" s="4">
        <v>37956</v>
      </c>
      <c r="B119" s="3">
        <v>1.31</v>
      </c>
    </row>
    <row r="120" spans="1:2" x14ac:dyDescent="0.25">
      <c r="A120" s="4">
        <v>37987</v>
      </c>
      <c r="B120" s="3">
        <v>1.24</v>
      </c>
    </row>
    <row r="121" spans="1:2" x14ac:dyDescent="0.25">
      <c r="A121" s="4">
        <v>38018</v>
      </c>
      <c r="B121" s="3">
        <v>1.24</v>
      </c>
    </row>
    <row r="122" spans="1:2" x14ac:dyDescent="0.25">
      <c r="A122" s="4">
        <v>38047</v>
      </c>
      <c r="B122" s="3">
        <v>1.19</v>
      </c>
    </row>
    <row r="123" spans="1:2" x14ac:dyDescent="0.25">
      <c r="A123" s="4">
        <v>38078</v>
      </c>
      <c r="B123" s="3">
        <v>1.43</v>
      </c>
    </row>
    <row r="124" spans="1:2" x14ac:dyDescent="0.25">
      <c r="A124" s="4">
        <v>38108</v>
      </c>
      <c r="B124" s="3">
        <v>1.78</v>
      </c>
    </row>
    <row r="125" spans="1:2" x14ac:dyDescent="0.25">
      <c r="A125" s="4">
        <v>38139</v>
      </c>
      <c r="B125" s="3">
        <v>2.12</v>
      </c>
    </row>
    <row r="126" spans="1:2" x14ac:dyDescent="0.25">
      <c r="A126" s="4">
        <v>38169</v>
      </c>
      <c r="B126" s="3">
        <v>2.1</v>
      </c>
    </row>
    <row r="127" spans="1:2" x14ac:dyDescent="0.25">
      <c r="A127" s="4">
        <v>38200</v>
      </c>
      <c r="B127" s="3">
        <v>2.02</v>
      </c>
    </row>
    <row r="128" spans="1:2" x14ac:dyDescent="0.25">
      <c r="A128" s="4">
        <v>38231</v>
      </c>
      <c r="B128" s="3">
        <v>2.12</v>
      </c>
    </row>
    <row r="129" spans="1:2" x14ac:dyDescent="0.25">
      <c r="A129" s="4">
        <v>38261</v>
      </c>
      <c r="B129" s="3">
        <v>2.23</v>
      </c>
    </row>
    <row r="130" spans="1:2" x14ac:dyDescent="0.25">
      <c r="A130" s="4">
        <v>38292</v>
      </c>
      <c r="B130" s="3">
        <v>2.5</v>
      </c>
    </row>
    <row r="131" spans="1:2" x14ac:dyDescent="0.25">
      <c r="A131" s="4">
        <v>38322</v>
      </c>
      <c r="B131" s="3">
        <v>2.67</v>
      </c>
    </row>
    <row r="132" spans="1:2" x14ac:dyDescent="0.25">
      <c r="A132" s="4">
        <v>38353</v>
      </c>
      <c r="B132" s="3">
        <v>2.86</v>
      </c>
    </row>
    <row r="133" spans="1:2" x14ac:dyDescent="0.25">
      <c r="A133" s="4">
        <v>38384</v>
      </c>
      <c r="B133" s="3">
        <v>3.03</v>
      </c>
    </row>
    <row r="134" spans="1:2" x14ac:dyDescent="0.25">
      <c r="A134" s="4">
        <v>38412</v>
      </c>
      <c r="B134" s="3">
        <v>3.3</v>
      </c>
    </row>
    <row r="135" spans="1:2" x14ac:dyDescent="0.25">
      <c r="A135" s="4">
        <v>38443</v>
      </c>
      <c r="B135" s="3">
        <v>3.32</v>
      </c>
    </row>
    <row r="136" spans="1:2" x14ac:dyDescent="0.25">
      <c r="A136" s="4">
        <v>38473</v>
      </c>
      <c r="B136" s="3">
        <v>3.33</v>
      </c>
    </row>
    <row r="137" spans="1:2" x14ac:dyDescent="0.25">
      <c r="A137" s="4">
        <v>38504</v>
      </c>
      <c r="B137" s="3">
        <v>3.36</v>
      </c>
    </row>
    <row r="138" spans="1:2" x14ac:dyDescent="0.25">
      <c r="A138" s="4">
        <v>38534</v>
      </c>
      <c r="B138" s="3">
        <v>3.64</v>
      </c>
    </row>
    <row r="139" spans="1:2" x14ac:dyDescent="0.25">
      <c r="A139" s="4">
        <v>38565</v>
      </c>
      <c r="B139" s="3">
        <v>3.87</v>
      </c>
    </row>
    <row r="140" spans="1:2" x14ac:dyDescent="0.25">
      <c r="A140" s="4">
        <v>38596</v>
      </c>
      <c r="B140" s="3">
        <v>3.85</v>
      </c>
    </row>
    <row r="141" spans="1:2" x14ac:dyDescent="0.25">
      <c r="A141" s="4">
        <v>38626</v>
      </c>
      <c r="B141" s="3">
        <v>4.18</v>
      </c>
    </row>
    <row r="142" spans="1:2" x14ac:dyDescent="0.25">
      <c r="A142" s="4">
        <v>38657</v>
      </c>
      <c r="B142" s="3">
        <v>4.33</v>
      </c>
    </row>
    <row r="143" spans="1:2" x14ac:dyDescent="0.25">
      <c r="A143" s="4">
        <v>38687</v>
      </c>
      <c r="B143" s="3">
        <v>4.3499999999999996</v>
      </c>
    </row>
    <row r="144" spans="1:2" x14ac:dyDescent="0.25">
      <c r="A144" s="4">
        <v>38718</v>
      </c>
      <c r="B144" s="3">
        <v>4.45</v>
      </c>
    </row>
    <row r="145" spans="1:2" x14ac:dyDescent="0.25">
      <c r="A145" s="4">
        <v>38749</v>
      </c>
      <c r="B145" s="3">
        <v>4.68</v>
      </c>
    </row>
    <row r="146" spans="1:2" x14ac:dyDescent="0.25">
      <c r="A146" s="4">
        <v>38777</v>
      </c>
      <c r="B146" s="3">
        <v>4.7699999999999996</v>
      </c>
    </row>
    <row r="147" spans="1:2" x14ac:dyDescent="0.25">
      <c r="A147" s="4">
        <v>38808</v>
      </c>
      <c r="B147" s="3">
        <v>4.9000000000000004</v>
      </c>
    </row>
    <row r="148" spans="1:2" x14ac:dyDescent="0.25">
      <c r="A148" s="4">
        <v>38838</v>
      </c>
      <c r="B148" s="3">
        <v>5</v>
      </c>
    </row>
    <row r="149" spans="1:2" x14ac:dyDescent="0.25">
      <c r="A149" s="4">
        <v>38869</v>
      </c>
      <c r="B149" s="3">
        <v>5.16</v>
      </c>
    </row>
    <row r="150" spans="1:2" x14ac:dyDescent="0.25">
      <c r="A150" s="4">
        <v>38899</v>
      </c>
      <c r="B150" s="3">
        <v>5.22</v>
      </c>
    </row>
    <row r="151" spans="1:2" x14ac:dyDescent="0.25">
      <c r="A151" s="4">
        <v>38930</v>
      </c>
      <c r="B151" s="3">
        <v>5.08</v>
      </c>
    </row>
    <row r="152" spans="1:2" x14ac:dyDescent="0.25">
      <c r="A152" s="4">
        <v>38961</v>
      </c>
      <c r="B152" s="3">
        <v>4.97</v>
      </c>
    </row>
    <row r="153" spans="1:2" x14ac:dyDescent="0.25">
      <c r="A153" s="4">
        <v>38991</v>
      </c>
      <c r="B153" s="3">
        <v>5.01</v>
      </c>
    </row>
    <row r="154" spans="1:2" x14ac:dyDescent="0.25">
      <c r="A154" s="4">
        <v>39022</v>
      </c>
      <c r="B154" s="3">
        <v>5.01</v>
      </c>
    </row>
    <row r="155" spans="1:2" x14ac:dyDescent="0.25">
      <c r="A155" s="4">
        <v>39052</v>
      </c>
      <c r="B155" s="3">
        <v>4.9400000000000004</v>
      </c>
    </row>
    <row r="156" spans="1:2" x14ac:dyDescent="0.25">
      <c r="A156" s="4">
        <v>39083</v>
      </c>
      <c r="B156" s="3">
        <v>5.0599999999999996</v>
      </c>
    </row>
    <row r="157" spans="1:2" x14ac:dyDescent="0.25">
      <c r="A157" s="4">
        <v>39114</v>
      </c>
      <c r="B157" s="3">
        <v>5.05</v>
      </c>
    </row>
    <row r="158" spans="1:2" x14ac:dyDescent="0.25">
      <c r="A158" s="4">
        <v>39142</v>
      </c>
      <c r="B158" s="3">
        <v>4.92</v>
      </c>
    </row>
    <row r="159" spans="1:2" x14ac:dyDescent="0.25">
      <c r="A159" s="4">
        <v>39173</v>
      </c>
      <c r="B159" s="3">
        <v>4.93</v>
      </c>
    </row>
    <row r="160" spans="1:2" x14ac:dyDescent="0.25">
      <c r="A160" s="4">
        <v>39203</v>
      </c>
      <c r="B160" s="3">
        <v>4.91</v>
      </c>
    </row>
    <row r="161" spans="1:2" x14ac:dyDescent="0.25">
      <c r="A161" s="4">
        <v>39234</v>
      </c>
      <c r="B161" s="3">
        <v>4.96</v>
      </c>
    </row>
    <row r="162" spans="1:2" x14ac:dyDescent="0.25">
      <c r="A162" s="4">
        <v>39264</v>
      </c>
      <c r="B162" s="3">
        <v>4.96</v>
      </c>
    </row>
    <row r="163" spans="1:2" x14ac:dyDescent="0.25">
      <c r="A163" s="4">
        <v>39295</v>
      </c>
      <c r="B163" s="3">
        <v>4.47</v>
      </c>
    </row>
    <row r="164" spans="1:2" x14ac:dyDescent="0.25">
      <c r="A164" s="4">
        <v>39326</v>
      </c>
      <c r="B164" s="3">
        <v>4.1399999999999997</v>
      </c>
    </row>
    <row r="165" spans="1:2" x14ac:dyDescent="0.25">
      <c r="A165" s="4">
        <v>39356</v>
      </c>
      <c r="B165" s="3">
        <v>4.0999999999999996</v>
      </c>
    </row>
    <row r="166" spans="1:2" x14ac:dyDescent="0.25">
      <c r="A166" s="4">
        <v>39387</v>
      </c>
      <c r="B166" s="3">
        <v>3.5</v>
      </c>
    </row>
    <row r="167" spans="1:2" x14ac:dyDescent="0.25">
      <c r="A167" s="4">
        <v>39417</v>
      </c>
      <c r="B167" s="3">
        <v>3.26</v>
      </c>
    </row>
    <row r="168" spans="1:2" x14ac:dyDescent="0.25">
      <c r="A168" s="4">
        <v>39448</v>
      </c>
      <c r="B168" s="3">
        <v>2.71</v>
      </c>
    </row>
    <row r="169" spans="1:2" x14ac:dyDescent="0.25">
      <c r="A169" s="4">
        <v>39479</v>
      </c>
      <c r="B169" s="3">
        <v>2.0499999999999998</v>
      </c>
    </row>
    <row r="170" spans="1:2" x14ac:dyDescent="0.25">
      <c r="A170" s="4">
        <v>39508</v>
      </c>
      <c r="B170" s="3">
        <v>1.54</v>
      </c>
    </row>
    <row r="171" spans="1:2" x14ac:dyDescent="0.25">
      <c r="A171" s="4">
        <v>39539</v>
      </c>
      <c r="B171" s="3">
        <v>1.74</v>
      </c>
    </row>
    <row r="172" spans="1:2" x14ac:dyDescent="0.25">
      <c r="A172" s="4">
        <v>39569</v>
      </c>
      <c r="B172" s="3">
        <v>2.06</v>
      </c>
    </row>
    <row r="173" spans="1:2" x14ac:dyDescent="0.25">
      <c r="A173" s="4">
        <v>39600</v>
      </c>
      <c r="B173" s="3">
        <v>2.42</v>
      </c>
    </row>
    <row r="174" spans="1:2" x14ac:dyDescent="0.25">
      <c r="A174" s="4">
        <v>39630</v>
      </c>
      <c r="B174" s="3">
        <v>2.2799999999999998</v>
      </c>
    </row>
    <row r="175" spans="1:2" x14ac:dyDescent="0.25">
      <c r="A175" s="4">
        <v>39661</v>
      </c>
      <c r="B175" s="3">
        <v>2.1800000000000002</v>
      </c>
    </row>
    <row r="176" spans="1:2" x14ac:dyDescent="0.25">
      <c r="A176" s="4">
        <v>39692</v>
      </c>
      <c r="B176" s="3">
        <v>1.91</v>
      </c>
    </row>
    <row r="177" spans="1:2" x14ac:dyDescent="0.25">
      <c r="A177" s="4">
        <v>39722</v>
      </c>
      <c r="B177" s="3">
        <v>1.42</v>
      </c>
    </row>
    <row r="178" spans="1:2" x14ac:dyDescent="0.25">
      <c r="A178" s="4">
        <v>39753</v>
      </c>
      <c r="B178" s="3">
        <v>1.07</v>
      </c>
    </row>
    <row r="179" spans="1:2" x14ac:dyDescent="0.25">
      <c r="A179" s="4">
        <v>39783</v>
      </c>
      <c r="B179" s="3">
        <v>0.49</v>
      </c>
    </row>
    <row r="180" spans="1:2" x14ac:dyDescent="0.25">
      <c r="A180" s="4">
        <v>39814</v>
      </c>
      <c r="B180" s="3">
        <v>0.44</v>
      </c>
    </row>
    <row r="181" spans="1:2" x14ac:dyDescent="0.25">
      <c r="A181" s="4">
        <v>39845</v>
      </c>
      <c r="B181" s="3">
        <v>0.62</v>
      </c>
    </row>
    <row r="182" spans="1:2" x14ac:dyDescent="0.25">
      <c r="A182" s="4">
        <v>39873</v>
      </c>
      <c r="B182" s="3">
        <v>0.64</v>
      </c>
    </row>
    <row r="183" spans="1:2" x14ac:dyDescent="0.25">
      <c r="A183" s="4">
        <v>39904</v>
      </c>
      <c r="B183" s="3">
        <v>0.55000000000000004</v>
      </c>
    </row>
    <row r="184" spans="1:2" x14ac:dyDescent="0.25">
      <c r="A184" s="4">
        <v>39934</v>
      </c>
      <c r="B184" s="3">
        <v>0.5</v>
      </c>
    </row>
    <row r="185" spans="1:2" x14ac:dyDescent="0.25">
      <c r="A185" s="4">
        <v>39965</v>
      </c>
      <c r="B185" s="3">
        <v>0.51</v>
      </c>
    </row>
    <row r="186" spans="1:2" x14ac:dyDescent="0.25">
      <c r="A186" s="4">
        <v>39995</v>
      </c>
      <c r="B186" s="3">
        <v>0.48</v>
      </c>
    </row>
    <row r="187" spans="1:2" x14ac:dyDescent="0.25">
      <c r="A187" s="4">
        <v>40026</v>
      </c>
      <c r="B187" s="3">
        <v>0.46</v>
      </c>
    </row>
    <row r="188" spans="1:2" x14ac:dyDescent="0.25">
      <c r="A188" s="4">
        <v>40057</v>
      </c>
      <c r="B188" s="3">
        <v>0.4</v>
      </c>
    </row>
    <row r="189" spans="1:2" x14ac:dyDescent="0.25">
      <c r="A189" s="4">
        <v>40087</v>
      </c>
      <c r="B189" s="3">
        <v>0.37</v>
      </c>
    </row>
    <row r="190" spans="1:2" x14ac:dyDescent="0.25">
      <c r="A190" s="4">
        <v>40118</v>
      </c>
      <c r="B190" s="3">
        <v>0.31</v>
      </c>
    </row>
    <row r="191" spans="1:2" x14ac:dyDescent="0.25">
      <c r="A191" s="4">
        <v>40148</v>
      </c>
      <c r="B191" s="3">
        <v>0.37</v>
      </c>
    </row>
    <row r="192" spans="1:2" x14ac:dyDescent="0.25">
      <c r="A192" s="4">
        <v>40179</v>
      </c>
      <c r="B192" s="3">
        <v>0.35</v>
      </c>
    </row>
    <row r="193" spans="1:2" x14ac:dyDescent="0.25">
      <c r="A193" s="4">
        <v>40210</v>
      </c>
      <c r="B193" s="3">
        <v>0.35</v>
      </c>
    </row>
    <row r="194" spans="1:2" x14ac:dyDescent="0.25">
      <c r="A194" s="4">
        <v>40238</v>
      </c>
      <c r="B194" s="3">
        <v>0.4</v>
      </c>
    </row>
    <row r="195" spans="1:2" x14ac:dyDescent="0.25">
      <c r="A195" s="4">
        <v>40269</v>
      </c>
      <c r="B195" s="3">
        <v>0.45</v>
      </c>
    </row>
    <row r="196" spans="1:2" x14ac:dyDescent="0.25">
      <c r="A196" s="4">
        <v>40299</v>
      </c>
      <c r="B196" s="3">
        <v>0.37</v>
      </c>
    </row>
    <row r="197" spans="1:2" x14ac:dyDescent="0.25">
      <c r="A197" s="4">
        <v>40330</v>
      </c>
      <c r="B197" s="3">
        <v>0.32</v>
      </c>
    </row>
    <row r="198" spans="1:2" x14ac:dyDescent="0.25">
      <c r="A198" s="4">
        <v>40360</v>
      </c>
      <c r="B198" s="3">
        <v>0.28999999999999998</v>
      </c>
    </row>
    <row r="199" spans="1:2" x14ac:dyDescent="0.25">
      <c r="A199" s="4">
        <v>40391</v>
      </c>
      <c r="B199" s="3">
        <v>0.26</v>
      </c>
    </row>
    <row r="200" spans="1:2" x14ac:dyDescent="0.25">
      <c r="A200" s="4">
        <v>40422</v>
      </c>
      <c r="B200" s="3">
        <v>0.26</v>
      </c>
    </row>
    <row r="201" spans="1:2" x14ac:dyDescent="0.25">
      <c r="A201" s="4">
        <v>40452</v>
      </c>
      <c r="B201" s="3">
        <v>0.23</v>
      </c>
    </row>
    <row r="202" spans="1:2" x14ac:dyDescent="0.25">
      <c r="A202" s="4">
        <v>40483</v>
      </c>
      <c r="B202" s="3">
        <v>0.25</v>
      </c>
    </row>
    <row r="203" spans="1:2" x14ac:dyDescent="0.25">
      <c r="A203" s="4">
        <v>40513</v>
      </c>
      <c r="B203" s="3">
        <v>0.28999999999999998</v>
      </c>
    </row>
    <row r="204" spans="1:2" x14ac:dyDescent="0.25">
      <c r="A204" s="4">
        <v>40544</v>
      </c>
      <c r="B204" s="3">
        <v>0.27</v>
      </c>
    </row>
    <row r="205" spans="1:2" x14ac:dyDescent="0.25">
      <c r="A205" s="4">
        <v>40575</v>
      </c>
      <c r="B205" s="3">
        <v>0.28999999999999998</v>
      </c>
    </row>
    <row r="206" spans="1:2" x14ac:dyDescent="0.25">
      <c r="A206" s="4">
        <v>40603</v>
      </c>
      <c r="B206" s="3">
        <v>0.26</v>
      </c>
    </row>
    <row r="207" spans="1:2" x14ac:dyDescent="0.25">
      <c r="A207" s="4">
        <v>40634</v>
      </c>
      <c r="B207" s="3">
        <v>0.25</v>
      </c>
    </row>
    <row r="208" spans="1:2" x14ac:dyDescent="0.25">
      <c r="A208" s="4">
        <v>40664</v>
      </c>
      <c r="B208" s="3">
        <v>0.19</v>
      </c>
    </row>
    <row r="209" spans="1:2" x14ac:dyDescent="0.25">
      <c r="A209" s="4">
        <v>40695</v>
      </c>
      <c r="B209" s="3">
        <v>0.18</v>
      </c>
    </row>
    <row r="210" spans="1:2" x14ac:dyDescent="0.25">
      <c r="A210" s="4">
        <v>40725</v>
      </c>
      <c r="B210" s="3">
        <v>0.19</v>
      </c>
    </row>
    <row r="211" spans="1:2" x14ac:dyDescent="0.25">
      <c r="A211" s="4">
        <v>40756</v>
      </c>
      <c r="B211" s="3">
        <v>0.11</v>
      </c>
    </row>
    <row r="212" spans="1:2" x14ac:dyDescent="0.25">
      <c r="A212" s="4">
        <v>40787</v>
      </c>
      <c r="B212" s="3">
        <v>0.1</v>
      </c>
    </row>
    <row r="213" spans="1:2" x14ac:dyDescent="0.25">
      <c r="A213" s="4">
        <v>40817</v>
      </c>
      <c r="B213" s="3">
        <v>0.11</v>
      </c>
    </row>
    <row r="214" spans="1:2" x14ac:dyDescent="0.25">
      <c r="A214" s="4">
        <v>40848</v>
      </c>
      <c r="B214" s="3">
        <v>0.11</v>
      </c>
    </row>
    <row r="215" spans="1:2" x14ac:dyDescent="0.25">
      <c r="A215" s="4">
        <v>40878</v>
      </c>
      <c r="B215" s="3">
        <v>0.12</v>
      </c>
    </row>
    <row r="216" spans="1:2" x14ac:dyDescent="0.25">
      <c r="A216" s="4">
        <v>40909</v>
      </c>
      <c r="B216" s="3">
        <v>0.12</v>
      </c>
    </row>
    <row r="217" spans="1:2" x14ac:dyDescent="0.25">
      <c r="A217" s="4">
        <v>40940</v>
      </c>
      <c r="B217" s="3">
        <v>0.16</v>
      </c>
    </row>
    <row r="218" spans="1:2" x14ac:dyDescent="0.25">
      <c r="A218" s="4">
        <v>40969</v>
      </c>
      <c r="B218" s="3">
        <v>0.19</v>
      </c>
    </row>
    <row r="219" spans="1:2" x14ac:dyDescent="0.25">
      <c r="A219" s="4">
        <v>41000</v>
      </c>
      <c r="B219" s="3">
        <v>0.18</v>
      </c>
    </row>
    <row r="220" spans="1:2" x14ac:dyDescent="0.25">
      <c r="A220" s="4">
        <v>41030</v>
      </c>
      <c r="B220" s="3">
        <v>0.19</v>
      </c>
    </row>
    <row r="221" spans="1:2" x14ac:dyDescent="0.25">
      <c r="A221" s="4">
        <v>41061</v>
      </c>
      <c r="B221" s="3">
        <v>0.19</v>
      </c>
    </row>
    <row r="222" spans="1:2" x14ac:dyDescent="0.25">
      <c r="A222" s="4">
        <v>41091</v>
      </c>
      <c r="B222" s="3">
        <v>0.19</v>
      </c>
    </row>
    <row r="223" spans="1:2" x14ac:dyDescent="0.25">
      <c r="A223" s="4">
        <v>41122</v>
      </c>
      <c r="B223" s="3">
        <v>0.18</v>
      </c>
    </row>
    <row r="224" spans="1:2" x14ac:dyDescent="0.25">
      <c r="A224" s="4">
        <v>41153</v>
      </c>
      <c r="B224" s="3">
        <v>0.18</v>
      </c>
    </row>
    <row r="225" spans="1:2" x14ac:dyDescent="0.25">
      <c r="A225" s="4">
        <v>41183</v>
      </c>
      <c r="B225" s="3">
        <v>0.18</v>
      </c>
    </row>
    <row r="226" spans="1:2" x14ac:dyDescent="0.25">
      <c r="A226" s="4">
        <v>41214</v>
      </c>
      <c r="B226" s="3">
        <v>0.18</v>
      </c>
    </row>
    <row r="227" spans="1:2" x14ac:dyDescent="0.25">
      <c r="A227" s="4">
        <v>41244</v>
      </c>
      <c r="B227" s="3">
        <v>0.16</v>
      </c>
    </row>
    <row r="228" spans="1:2" x14ac:dyDescent="0.25">
      <c r="A228" s="4">
        <v>41275</v>
      </c>
      <c r="B228" s="3">
        <v>0.15</v>
      </c>
    </row>
    <row r="229" spans="1:2" x14ac:dyDescent="0.25">
      <c r="A229" s="4">
        <v>41306</v>
      </c>
      <c r="B229" s="3">
        <v>0.16</v>
      </c>
    </row>
    <row r="230" spans="1:2" x14ac:dyDescent="0.25">
      <c r="A230" s="4">
        <v>41334</v>
      </c>
      <c r="B230" s="3">
        <v>0.15</v>
      </c>
    </row>
    <row r="231" spans="1:2" x14ac:dyDescent="0.25">
      <c r="A231" s="4">
        <v>41365</v>
      </c>
      <c r="B231" s="3">
        <v>0.12</v>
      </c>
    </row>
    <row r="232" spans="1:2" x14ac:dyDescent="0.25">
      <c r="A232" s="4">
        <v>41395</v>
      </c>
      <c r="B232" s="3">
        <v>0.12</v>
      </c>
    </row>
    <row r="233" spans="1:2" x14ac:dyDescent="0.25">
      <c r="A233" s="4">
        <v>41426</v>
      </c>
      <c r="B233" s="3">
        <v>0.14000000000000001</v>
      </c>
    </row>
    <row r="234" spans="1:2" x14ac:dyDescent="0.25">
      <c r="A234" s="4">
        <v>41456</v>
      </c>
      <c r="B234" s="3">
        <v>0.12</v>
      </c>
    </row>
    <row r="235" spans="1:2" x14ac:dyDescent="0.25">
      <c r="A235" s="4">
        <v>41487</v>
      </c>
      <c r="B235" s="3">
        <v>0.13</v>
      </c>
    </row>
    <row r="236" spans="1:2" x14ac:dyDescent="0.25">
      <c r="A236" s="4">
        <v>41518</v>
      </c>
      <c r="B236" s="3">
        <v>0.12</v>
      </c>
    </row>
    <row r="237" spans="1:2" x14ac:dyDescent="0.25">
      <c r="A237" s="4">
        <v>41548</v>
      </c>
      <c r="B237" s="3">
        <v>0.12</v>
      </c>
    </row>
    <row r="238" spans="1:2" x14ac:dyDescent="0.25">
      <c r="A238" s="4">
        <v>41579</v>
      </c>
      <c r="B238" s="3">
        <v>0.12</v>
      </c>
    </row>
    <row r="239" spans="1:2" x14ac:dyDescent="0.25">
      <c r="A239" s="4">
        <v>41609</v>
      </c>
      <c r="B239" s="3">
        <v>0.13</v>
      </c>
    </row>
    <row r="240" spans="1:2" x14ac:dyDescent="0.25">
      <c r="A240" s="4">
        <v>41640</v>
      </c>
      <c r="B240" s="3">
        <v>0.12</v>
      </c>
    </row>
    <row r="241" spans="1:2" x14ac:dyDescent="0.25">
      <c r="A241" s="4">
        <v>41671</v>
      </c>
      <c r="B241" s="3">
        <v>0.12</v>
      </c>
    </row>
    <row r="242" spans="1:2" x14ac:dyDescent="0.25">
      <c r="A242" s="4">
        <v>41699</v>
      </c>
      <c r="B242" s="3">
        <v>0.13</v>
      </c>
    </row>
    <row r="243" spans="1:2" x14ac:dyDescent="0.25">
      <c r="A243" s="4">
        <v>41730</v>
      </c>
      <c r="B243" s="3">
        <v>0.11</v>
      </c>
    </row>
    <row r="244" spans="1:2" x14ac:dyDescent="0.25">
      <c r="A244" s="4">
        <v>41760</v>
      </c>
      <c r="B244" s="3">
        <v>0.1</v>
      </c>
    </row>
    <row r="245" spans="1:2" x14ac:dyDescent="0.25">
      <c r="A245" s="4">
        <v>41791</v>
      </c>
      <c r="B245" s="3">
        <v>0.1</v>
      </c>
    </row>
    <row r="246" spans="1:2" x14ac:dyDescent="0.25">
      <c r="A246" s="4">
        <v>41821</v>
      </c>
      <c r="B246" s="3">
        <v>0.11</v>
      </c>
    </row>
    <row r="247" spans="1:2" x14ac:dyDescent="0.25">
      <c r="A247" s="4">
        <v>41852</v>
      </c>
      <c r="B247" s="3">
        <v>0.11</v>
      </c>
    </row>
    <row r="248" spans="1:2" x14ac:dyDescent="0.25">
      <c r="A248" s="4">
        <v>41883</v>
      </c>
      <c r="B248" s="3">
        <v>0.11</v>
      </c>
    </row>
    <row r="249" spans="1:2" x14ac:dyDescent="0.25">
      <c r="A249" s="4">
        <v>41913</v>
      </c>
      <c r="B249" s="3">
        <v>0.1</v>
      </c>
    </row>
    <row r="250" spans="1:2" x14ac:dyDescent="0.25">
      <c r="A250" s="4">
        <v>41944</v>
      </c>
      <c r="B250" s="3">
        <v>0.13</v>
      </c>
    </row>
    <row r="251" spans="1:2" x14ac:dyDescent="0.25">
      <c r="A251" s="4">
        <v>41974</v>
      </c>
      <c r="B251" s="3">
        <v>0.21</v>
      </c>
    </row>
    <row r="252" spans="1:2" x14ac:dyDescent="0.25">
      <c r="A252" s="4">
        <v>42005</v>
      </c>
      <c r="B252" s="3">
        <v>0.2</v>
      </c>
    </row>
    <row r="253" spans="1:2" x14ac:dyDescent="0.25">
      <c r="A253" s="4">
        <v>42036</v>
      </c>
      <c r="B253" s="3">
        <v>0.22</v>
      </c>
    </row>
    <row r="254" spans="1:2" x14ac:dyDescent="0.25">
      <c r="A254" s="4">
        <v>42064</v>
      </c>
      <c r="B254" s="3">
        <v>0.25</v>
      </c>
    </row>
    <row r="255" spans="1:2" x14ac:dyDescent="0.25">
      <c r="A255" s="4">
        <v>42095</v>
      </c>
      <c r="B255" s="3">
        <v>0.23</v>
      </c>
    </row>
    <row r="256" spans="1:2" x14ac:dyDescent="0.25">
      <c r="A256" s="4">
        <v>42125</v>
      </c>
      <c r="B256" s="3">
        <v>0.24</v>
      </c>
    </row>
    <row r="257" spans="1:2" x14ac:dyDescent="0.25">
      <c r="A257" s="4">
        <v>42156</v>
      </c>
      <c r="B257" s="3">
        <v>0.28000000000000003</v>
      </c>
    </row>
    <row r="258" spans="1:2" x14ac:dyDescent="0.25">
      <c r="A258" s="4">
        <v>42186</v>
      </c>
      <c r="B258" s="3">
        <v>0.3</v>
      </c>
    </row>
    <row r="259" spans="1:2" x14ac:dyDescent="0.25">
      <c r="A259" s="4">
        <v>42217</v>
      </c>
      <c r="B259" s="3">
        <v>0.38</v>
      </c>
    </row>
    <row r="260" spans="1:2" x14ac:dyDescent="0.25">
      <c r="A260" s="4">
        <v>42248</v>
      </c>
      <c r="B260" s="3">
        <v>0.37</v>
      </c>
    </row>
    <row r="261" spans="1:2" x14ac:dyDescent="0.25">
      <c r="A261" s="4">
        <v>42278</v>
      </c>
      <c r="B261" s="3">
        <v>0.26</v>
      </c>
    </row>
    <row r="262" spans="1:2" x14ac:dyDescent="0.25">
      <c r="A262" s="4">
        <v>42309</v>
      </c>
      <c r="B262" s="3">
        <v>0.48</v>
      </c>
    </row>
    <row r="263" spans="1:2" x14ac:dyDescent="0.25">
      <c r="A263" s="4">
        <v>42339</v>
      </c>
      <c r="B263" s="3">
        <v>0.65</v>
      </c>
    </row>
    <row r="264" spans="1:2" x14ac:dyDescent="0.25">
      <c r="A264" s="4">
        <v>42370</v>
      </c>
      <c r="B264" s="3">
        <v>0.54</v>
      </c>
    </row>
    <row r="265" spans="1:2" x14ac:dyDescent="0.25">
      <c r="A265" s="4">
        <v>42401</v>
      </c>
      <c r="B265" s="3">
        <v>0.53</v>
      </c>
    </row>
    <row r="266" spans="1:2" x14ac:dyDescent="0.25">
      <c r="A266" s="4">
        <v>42430</v>
      </c>
      <c r="B266" s="3">
        <v>0.66</v>
      </c>
    </row>
    <row r="267" spans="1:2" x14ac:dyDescent="0.25">
      <c r="A267" s="4">
        <v>42461</v>
      </c>
      <c r="B267" s="3">
        <v>0.56000000000000005</v>
      </c>
    </row>
    <row r="268" spans="1:2" x14ac:dyDescent="0.25">
      <c r="A268" s="4">
        <v>42491</v>
      </c>
      <c r="B268" s="3">
        <v>0.59</v>
      </c>
    </row>
    <row r="269" spans="1:2" x14ac:dyDescent="0.25">
      <c r="A269" s="4">
        <v>42522</v>
      </c>
      <c r="B269" s="3">
        <v>0.55000000000000004</v>
      </c>
    </row>
    <row r="270" spans="1:2" x14ac:dyDescent="0.25">
      <c r="A270" s="4">
        <v>42552</v>
      </c>
      <c r="B270" s="3">
        <v>0.51</v>
      </c>
    </row>
    <row r="271" spans="1:2" x14ac:dyDescent="0.25">
      <c r="A271" s="4">
        <v>42583</v>
      </c>
      <c r="B271" s="3">
        <v>0.56999999999999995</v>
      </c>
    </row>
    <row r="272" spans="1:2" x14ac:dyDescent="0.25">
      <c r="A272" s="4">
        <v>42614</v>
      </c>
      <c r="B272" s="3">
        <v>0.59</v>
      </c>
    </row>
    <row r="273" spans="1:2" x14ac:dyDescent="0.25">
      <c r="A273" s="4">
        <v>42644</v>
      </c>
      <c r="B273" s="3">
        <v>0.66</v>
      </c>
    </row>
    <row r="274" spans="1:2" x14ac:dyDescent="0.25">
      <c r="A274" s="4">
        <v>42675</v>
      </c>
      <c r="B274" s="3">
        <v>0.74</v>
      </c>
    </row>
    <row r="275" spans="1:2" x14ac:dyDescent="0.25">
      <c r="A275" s="4">
        <v>42705</v>
      </c>
      <c r="B275" s="3">
        <v>0.87</v>
      </c>
    </row>
    <row r="276" spans="1:2" x14ac:dyDescent="0.25">
      <c r="A276" s="4">
        <v>42736</v>
      </c>
      <c r="B276" s="3">
        <v>0.83</v>
      </c>
    </row>
    <row r="277" spans="1:2" x14ac:dyDescent="0.25">
      <c r="A277" s="4">
        <v>42767</v>
      </c>
      <c r="B277" s="3">
        <v>0.82</v>
      </c>
    </row>
    <row r="278" spans="1:2" x14ac:dyDescent="0.25">
      <c r="A278" s="4">
        <v>42795</v>
      </c>
      <c r="B278" s="3">
        <v>1.01</v>
      </c>
    </row>
    <row r="279" spans="1:2" x14ac:dyDescent="0.25">
      <c r="A279" s="4">
        <v>42826</v>
      </c>
      <c r="B279" s="3">
        <v>1.04</v>
      </c>
    </row>
    <row r="280" spans="1:2" x14ac:dyDescent="0.25">
      <c r="A280" s="4">
        <v>42856</v>
      </c>
      <c r="B280" s="3">
        <v>1.1200000000000001</v>
      </c>
    </row>
    <row r="281" spans="1:2" x14ac:dyDescent="0.25">
      <c r="A281" s="4">
        <v>42887</v>
      </c>
      <c r="B281" s="3">
        <v>1.2</v>
      </c>
    </row>
    <row r="282" spans="1:2" x14ac:dyDescent="0.25">
      <c r="A282" s="4">
        <v>42917</v>
      </c>
      <c r="B282" s="3">
        <v>1.22</v>
      </c>
    </row>
    <row r="283" spans="1:2" x14ac:dyDescent="0.25">
      <c r="A283" s="4">
        <v>42948</v>
      </c>
      <c r="B283" s="3">
        <v>1.23</v>
      </c>
    </row>
    <row r="284" spans="1:2" x14ac:dyDescent="0.25">
      <c r="A284" s="4">
        <v>42979</v>
      </c>
      <c r="B284" s="3">
        <v>1.28</v>
      </c>
    </row>
    <row r="285" spans="1:2" x14ac:dyDescent="0.25">
      <c r="A285" s="4">
        <v>43009</v>
      </c>
      <c r="B285" s="3">
        <v>1.4</v>
      </c>
    </row>
    <row r="286" spans="1:2" x14ac:dyDescent="0.25">
      <c r="A286" s="4">
        <v>43040</v>
      </c>
      <c r="B286" s="3">
        <v>1.56</v>
      </c>
    </row>
    <row r="287" spans="1:2" x14ac:dyDescent="0.25">
      <c r="A287" s="4">
        <v>43070</v>
      </c>
      <c r="B287" s="3">
        <v>1.7</v>
      </c>
    </row>
    <row r="288" spans="1:2" x14ac:dyDescent="0.25">
      <c r="A288" s="4">
        <v>43101</v>
      </c>
      <c r="B288" s="3">
        <v>1.8</v>
      </c>
    </row>
    <row r="289" spans="1:2" x14ac:dyDescent="0.25">
      <c r="A289" s="4">
        <v>43132</v>
      </c>
      <c r="B289" s="3">
        <v>1.96</v>
      </c>
    </row>
    <row r="290" spans="1:2" x14ac:dyDescent="0.25">
      <c r="A290" s="4">
        <v>43160</v>
      </c>
      <c r="B290" s="3">
        <v>2.06</v>
      </c>
    </row>
    <row r="291" spans="1:2" x14ac:dyDescent="0.25">
      <c r="A291" s="4">
        <v>43191</v>
      </c>
      <c r="B291" s="3">
        <v>2.15</v>
      </c>
    </row>
    <row r="292" spans="1:2" x14ac:dyDescent="0.25">
      <c r="A292" s="4">
        <v>43221</v>
      </c>
      <c r="B292" s="3">
        <v>2.27</v>
      </c>
    </row>
    <row r="293" spans="1:2" x14ac:dyDescent="0.25">
      <c r="A293" s="4">
        <v>43252</v>
      </c>
      <c r="B293" s="3">
        <v>2.33</v>
      </c>
    </row>
    <row r="294" spans="1:2" x14ac:dyDescent="0.25">
      <c r="A294" s="4">
        <v>43282</v>
      </c>
      <c r="B294" s="3">
        <v>2.39</v>
      </c>
    </row>
    <row r="295" spans="1:2" x14ac:dyDescent="0.25">
      <c r="A295" s="4">
        <v>43313</v>
      </c>
      <c r="B295" s="3">
        <v>2.4500000000000002</v>
      </c>
    </row>
    <row r="296" spans="1:2" x14ac:dyDescent="0.25">
      <c r="A296" s="4">
        <v>43344</v>
      </c>
      <c r="B296" s="3">
        <v>2.56</v>
      </c>
    </row>
    <row r="297" spans="1:2" x14ac:dyDescent="0.25">
      <c r="A297" s="4">
        <v>43374</v>
      </c>
      <c r="B297" s="3">
        <v>2.65</v>
      </c>
    </row>
    <row r="298" spans="1:2" x14ac:dyDescent="0.25">
      <c r="A298" s="4">
        <v>43405</v>
      </c>
      <c r="B298" s="3">
        <v>2.7</v>
      </c>
    </row>
    <row r="299" spans="1:2" x14ac:dyDescent="0.25">
      <c r="A299" s="4">
        <v>43435</v>
      </c>
      <c r="B299" s="3">
        <v>2.66</v>
      </c>
    </row>
    <row r="300" spans="1:2" x14ac:dyDescent="0.25">
      <c r="A300" s="4">
        <v>43466</v>
      </c>
      <c r="B300" s="3">
        <v>2.58</v>
      </c>
    </row>
    <row r="301" spans="1:2" x14ac:dyDescent="0.25">
      <c r="A301" s="4">
        <v>43497</v>
      </c>
      <c r="B301" s="3">
        <v>2.5499999999999998</v>
      </c>
    </row>
    <row r="302" spans="1:2" x14ac:dyDescent="0.25">
      <c r="A302" s="4">
        <v>43525</v>
      </c>
      <c r="B302" s="3">
        <v>2.4900000000000002</v>
      </c>
    </row>
    <row r="303" spans="1:2" x14ac:dyDescent="0.25">
      <c r="A303" s="4">
        <v>43556</v>
      </c>
      <c r="B303" s="3">
        <v>2.42</v>
      </c>
    </row>
    <row r="304" spans="1:2" x14ac:dyDescent="0.25">
      <c r="A304" s="4">
        <v>43586</v>
      </c>
      <c r="B304" s="3">
        <v>2.34</v>
      </c>
    </row>
    <row r="305" spans="1:2" x14ac:dyDescent="0.25">
      <c r="A305" s="4">
        <v>43617</v>
      </c>
      <c r="B305" s="3">
        <v>2</v>
      </c>
    </row>
    <row r="306" spans="1:2" x14ac:dyDescent="0.25">
      <c r="A306" s="4">
        <v>43647</v>
      </c>
      <c r="B306" s="3">
        <v>1.96</v>
      </c>
    </row>
    <row r="307" spans="1:2" x14ac:dyDescent="0.25">
      <c r="A307" s="4">
        <v>43678</v>
      </c>
      <c r="B307" s="3">
        <v>1.77</v>
      </c>
    </row>
    <row r="308" spans="1:2" x14ac:dyDescent="0.25">
      <c r="A308" s="4">
        <v>43709</v>
      </c>
      <c r="B308" s="3">
        <v>1.8</v>
      </c>
    </row>
    <row r="309" spans="1:2" x14ac:dyDescent="0.25">
      <c r="A309" s="4">
        <v>43739</v>
      </c>
      <c r="B309" s="3">
        <v>1.61</v>
      </c>
    </row>
    <row r="310" spans="1:2" x14ac:dyDescent="0.25">
      <c r="A310" s="4">
        <v>43770</v>
      </c>
      <c r="B310" s="3">
        <v>1.57</v>
      </c>
    </row>
    <row r="311" spans="1:2" x14ac:dyDescent="0.25">
      <c r="A311" s="4">
        <v>43800</v>
      </c>
      <c r="B311" s="3">
        <v>1.55</v>
      </c>
    </row>
    <row r="312" spans="1:2" x14ac:dyDescent="0.25">
      <c r="A312" s="4">
        <v>43831</v>
      </c>
      <c r="B312" s="3">
        <v>1.53</v>
      </c>
    </row>
    <row r="313" spans="1:2" x14ac:dyDescent="0.25">
      <c r="A313" s="4">
        <v>43862</v>
      </c>
      <c r="B313" s="3">
        <v>1.41</v>
      </c>
    </row>
    <row r="314" spans="1:2" x14ac:dyDescent="0.25">
      <c r="A314" s="4">
        <v>43891</v>
      </c>
      <c r="B314" s="3">
        <v>0.33</v>
      </c>
    </row>
    <row r="315" spans="1:2" x14ac:dyDescent="0.25">
      <c r="A315" s="4">
        <v>43922</v>
      </c>
      <c r="B315" s="3">
        <v>0.18</v>
      </c>
    </row>
    <row r="316" spans="1:2" x14ac:dyDescent="0.25">
      <c r="A316" s="4">
        <v>43952</v>
      </c>
      <c r="B316" s="3">
        <v>0.16</v>
      </c>
    </row>
    <row r="317" spans="1:2" x14ac:dyDescent="0.25">
      <c r="A317" s="4">
        <v>43983</v>
      </c>
      <c r="B317" s="3">
        <v>0.18</v>
      </c>
    </row>
    <row r="318" spans="1:2" x14ac:dyDescent="0.25">
      <c r="A318" s="4">
        <v>44013</v>
      </c>
      <c r="B318" s="3">
        <v>0.15</v>
      </c>
    </row>
    <row r="319" spans="1:2" x14ac:dyDescent="0.25">
      <c r="A319" s="4">
        <v>44044</v>
      </c>
      <c r="B319" s="3">
        <v>0.13</v>
      </c>
    </row>
    <row r="320" spans="1:2" x14ac:dyDescent="0.25">
      <c r="A320" s="4">
        <v>44075</v>
      </c>
      <c r="B320" s="3">
        <v>0.13</v>
      </c>
    </row>
    <row r="321" spans="1:2" x14ac:dyDescent="0.25">
      <c r="A321" s="4">
        <v>44105</v>
      </c>
      <c r="B321" s="3">
        <v>0.13</v>
      </c>
    </row>
    <row r="322" spans="1:2" x14ac:dyDescent="0.25">
      <c r="A322" s="4">
        <v>44136</v>
      </c>
      <c r="B322" s="3">
        <v>0.12</v>
      </c>
    </row>
    <row r="323" spans="1:2" x14ac:dyDescent="0.25">
      <c r="A323" s="4">
        <v>44166</v>
      </c>
      <c r="B323" s="3">
        <v>0.1</v>
      </c>
    </row>
    <row r="324" spans="1:2" x14ac:dyDescent="0.25">
      <c r="A324" s="4">
        <v>44197</v>
      </c>
      <c r="B324" s="3">
        <v>0.1</v>
      </c>
    </row>
    <row r="325" spans="1:2" x14ac:dyDescent="0.25">
      <c r="A325" s="4">
        <v>44228</v>
      </c>
      <c r="B325" s="3">
        <v>7.0000000000000007E-2</v>
      </c>
    </row>
    <row r="326" spans="1:2" x14ac:dyDescent="0.25">
      <c r="A326" s="4">
        <v>44256</v>
      </c>
      <c r="B326" s="3">
        <v>0.08</v>
      </c>
    </row>
    <row r="327" spans="1:2" x14ac:dyDescent="0.25">
      <c r="A327" s="4">
        <v>44287</v>
      </c>
      <c r="B327" s="3">
        <v>0.06</v>
      </c>
    </row>
    <row r="328" spans="1:2" x14ac:dyDescent="0.25">
      <c r="A328" s="4">
        <v>44317</v>
      </c>
      <c r="B328" s="3">
        <v>0.05</v>
      </c>
    </row>
    <row r="329" spans="1:2" x14ac:dyDescent="0.25">
      <c r="A329" s="4">
        <v>44348</v>
      </c>
      <c r="B329" s="3">
        <v>7.0000000000000007E-2</v>
      </c>
    </row>
    <row r="330" spans="1:2" x14ac:dyDescent="0.25">
      <c r="A330" s="4">
        <v>44378</v>
      </c>
      <c r="B330" s="3">
        <v>0.08</v>
      </c>
    </row>
    <row r="331" spans="1:2" x14ac:dyDescent="0.25">
      <c r="A331" s="4">
        <v>44409</v>
      </c>
      <c r="B331" s="3">
        <v>7.0000000000000007E-2</v>
      </c>
    </row>
    <row r="332" spans="1:2" x14ac:dyDescent="0.25">
      <c r="A332" s="4">
        <v>44440</v>
      </c>
      <c r="B332" s="3">
        <v>0.08</v>
      </c>
    </row>
    <row r="333" spans="1:2" x14ac:dyDescent="0.25">
      <c r="A333" s="4">
        <v>44470</v>
      </c>
      <c r="B333" s="3">
        <v>0.11</v>
      </c>
    </row>
    <row r="334" spans="1:2" x14ac:dyDescent="0.25">
      <c r="A334" s="4">
        <v>44501</v>
      </c>
      <c r="B334" s="3">
        <v>0.18</v>
      </c>
    </row>
    <row r="335" spans="1:2" x14ac:dyDescent="0.25">
      <c r="A335" s="4">
        <v>44531</v>
      </c>
      <c r="B335" s="3">
        <v>0.3</v>
      </c>
    </row>
    <row r="336" spans="1:2" x14ac:dyDescent="0.25">
      <c r="A336" s="4">
        <v>44562</v>
      </c>
      <c r="B336" s="3">
        <v>0.55000000000000004</v>
      </c>
    </row>
    <row r="337" spans="1:2" x14ac:dyDescent="0.25">
      <c r="A337" s="4">
        <v>44593</v>
      </c>
      <c r="B337" s="3">
        <v>1</v>
      </c>
    </row>
    <row r="338" spans="1:2" x14ac:dyDescent="0.25">
      <c r="A338" s="4">
        <v>44621</v>
      </c>
      <c r="B338" s="3">
        <v>1.34</v>
      </c>
    </row>
    <row r="339" spans="1:2" x14ac:dyDescent="0.25">
      <c r="A339" s="4">
        <v>44652</v>
      </c>
      <c r="B339" s="3">
        <v>1.89</v>
      </c>
    </row>
    <row r="340" spans="1:2" x14ac:dyDescent="0.25">
      <c r="A340" s="4">
        <v>44682</v>
      </c>
      <c r="B340" s="3">
        <v>2.06</v>
      </c>
    </row>
    <row r="341" spans="1:2" x14ac:dyDescent="0.25">
      <c r="A341" s="4">
        <v>44713</v>
      </c>
      <c r="B341" s="3">
        <v>2.65</v>
      </c>
    </row>
    <row r="342" spans="1:2" x14ac:dyDescent="0.25">
      <c r="A342" s="4">
        <v>44743</v>
      </c>
      <c r="B342" s="3">
        <v>3.02</v>
      </c>
    </row>
    <row r="343" spans="1:2" x14ac:dyDescent="0.25">
      <c r="A343" s="4">
        <v>44774</v>
      </c>
      <c r="B343" s="3">
        <v>3.28</v>
      </c>
    </row>
    <row r="344" spans="1:2" x14ac:dyDescent="0.25">
      <c r="A344" s="4">
        <v>44805</v>
      </c>
      <c r="B344" s="3">
        <v>3.89</v>
      </c>
    </row>
    <row r="345" spans="1:2" x14ac:dyDescent="0.25">
      <c r="A345" s="4">
        <v>44835</v>
      </c>
      <c r="B345" s="3">
        <v>4.43</v>
      </c>
    </row>
    <row r="346" spans="1:2" x14ac:dyDescent="0.25">
      <c r="A346" s="4">
        <v>44866</v>
      </c>
      <c r="B346" s="3">
        <v>4.7300000000000004</v>
      </c>
    </row>
    <row r="347" spans="1:2" x14ac:dyDescent="0.25">
      <c r="A347" s="4">
        <v>44896</v>
      </c>
      <c r="B347" s="3">
        <v>4.68</v>
      </c>
    </row>
    <row r="348" spans="1:2" x14ac:dyDescent="0.25">
      <c r="A348" s="4">
        <v>44927</v>
      </c>
      <c r="B348" s="3">
        <v>4.6900000000000004</v>
      </c>
    </row>
    <row r="349" spans="1:2" x14ac:dyDescent="0.25">
      <c r="A349" s="4">
        <v>44958</v>
      </c>
      <c r="B349" s="3">
        <v>4.93</v>
      </c>
    </row>
    <row r="350" spans="1:2" x14ac:dyDescent="0.25">
      <c r="A350" s="4">
        <v>44986</v>
      </c>
      <c r="B350" s="3">
        <v>4.68</v>
      </c>
    </row>
    <row r="351" spans="1:2" x14ac:dyDescent="0.25">
      <c r="A351" s="4">
        <v>45017</v>
      </c>
      <c r="B351" s="3">
        <v>4.68</v>
      </c>
    </row>
    <row r="352" spans="1:2" x14ac:dyDescent="0.25">
      <c r="A352" s="4">
        <v>45047</v>
      </c>
      <c r="B352" s="3">
        <v>4.91</v>
      </c>
    </row>
    <row r="353" spans="1:2" x14ac:dyDescent="0.25">
      <c r="A353" s="4">
        <v>45078</v>
      </c>
      <c r="B353" s="3">
        <v>5.24</v>
      </c>
    </row>
    <row r="354" spans="1:2" x14ac:dyDescent="0.25">
      <c r="A354" s="4">
        <v>45108</v>
      </c>
      <c r="B354" s="3">
        <v>5.37</v>
      </c>
    </row>
    <row r="355" spans="1:2" x14ac:dyDescent="0.25">
      <c r="A355" s="4">
        <v>45139</v>
      </c>
      <c r="B355" s="3">
        <v>5.37</v>
      </c>
    </row>
    <row r="356" spans="1:2" x14ac:dyDescent="0.25">
      <c r="A356" s="4">
        <v>45170</v>
      </c>
      <c r="B356" s="3">
        <v>5.44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1fbf04-9bb7-4837-8ecc-e5aaf347727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45FB2287D8741B551D733AD10F899" ma:contentTypeVersion="7" ma:contentTypeDescription="Create a new document." ma:contentTypeScope="" ma:versionID="590a7aa12b0965c3597768cb964381a4">
  <xsd:schema xmlns:xsd="http://www.w3.org/2001/XMLSchema" xmlns:xs="http://www.w3.org/2001/XMLSchema" xmlns:p="http://schemas.microsoft.com/office/2006/metadata/properties" xmlns:ns3="051fbf04-9bb7-4837-8ecc-e5aaf347727a" xmlns:ns4="c84d6cb4-33ee-4287-8c1d-b96bebc56e40" targetNamespace="http://schemas.microsoft.com/office/2006/metadata/properties" ma:root="true" ma:fieldsID="fa95895015539932ecc5ab33171093ae" ns3:_="" ns4:_="">
    <xsd:import namespace="051fbf04-9bb7-4837-8ecc-e5aaf347727a"/>
    <xsd:import namespace="c84d6cb4-33ee-4287-8c1d-b96bebc56e4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fbf04-9bb7-4837-8ecc-e5aaf347727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d6cb4-33ee-4287-8c1d-b96bebc56e40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0415E3-F43E-4E20-B70C-BCA1CA191351}">
  <ds:schemaRefs>
    <ds:schemaRef ds:uri="http://schemas.microsoft.com/office/2006/documentManagement/types"/>
    <ds:schemaRef ds:uri="051fbf04-9bb7-4837-8ecc-e5aaf347727a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c84d6cb4-33ee-4287-8c1d-b96bebc56e4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02E69C2-EA79-44ED-AC84-FB4A504F42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8BF8D8-FA80-48B2-BDCF-48F53C4F89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1fbf04-9bb7-4837-8ecc-e5aaf347727a"/>
    <ds:schemaRef ds:uri="c84d6cb4-33ee-4287-8c1d-b96bebc56e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Aggregate</vt:lpstr>
      <vt:lpstr>AEP</vt:lpstr>
      <vt:lpstr>DFSVX</vt:lpstr>
      <vt:lpstr>DFLVX</vt:lpstr>
      <vt:lpstr>FSAGX</vt:lpstr>
      <vt:lpstr>FRED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Kenyon User</dc:creator>
  <cp:lastModifiedBy>16EL1557 Rohit Raj</cp:lastModifiedBy>
  <dcterms:created xsi:type="dcterms:W3CDTF">2023-10-31T03:57:30Z</dcterms:created>
  <dcterms:modified xsi:type="dcterms:W3CDTF">2025-11-27T19:45:03Z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{02FA3848-DA9B-4631-A5D2-E1887FD7CA47}</vt:lpwstr>
  </property>
  <property fmtid="{D5CDD505-2E9C-101B-9397-08002B2CF9AE}" pid="3" name="ContentTypeId">
    <vt:lpwstr>0x010100AD445FB2287D8741B551D733AD10F899</vt:lpwstr>
  </property>
</Properties>
</file>